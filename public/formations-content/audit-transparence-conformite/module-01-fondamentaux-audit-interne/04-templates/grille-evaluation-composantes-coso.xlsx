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uto-évaluation COSO" sheetId="1" state="visible" r:id="rId3"/>
    <sheet name="Synthèse" sheetId="2" state="visible" r:id="rId4"/>
  </sheets>
  <definedNames>
    <definedName function="false" hidden="false" localSheetId="0" name="_xlnm.Print_Area" vbProcedure="false">'Auto-évaluation COSO'!$A$1:$E$22</definedName>
    <definedName function="false" hidden="false" localSheetId="1" name="_xlnm.Print_Area" vbProcedure="false">Synthèse!$A$1:$C$11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<sst xmlns="http://schemas.openxmlformats.org/spreadsheetml/2006/main" count="53" uniqueCount="47">
  <si>
    <t xml:space="preserve">GRILLE D'AUTO-ÉVALUATION DES COMPOSANTES COSO</t>
  </si>
  <si>
    <t xml:space="preserve">Module 01 — Fondamentaux de l'Audit Interne ONG · BK-BOOST Ltd.</t>
  </si>
  <si>
    <t xml:space="preserve">Notez chaque sous-critère de 1 (très insuffisant) à 5 (pleinement maîtrisé). La moyenne par composante et le score global se calculent automatiquement.</t>
  </si>
  <si>
    <t xml:space="preserve">Exemple illustratif pré-rempli ci-dessous (cas d'un cycle achats-logistique, bureau terrain) — remplacez les scores et observations par votre propre diagnostic.</t>
  </si>
  <si>
    <t xml:space="preserve">Composante COSO</t>
  </si>
  <si>
    <t xml:space="preserve">Sous-critère</t>
  </si>
  <si>
    <t xml:space="preserve">Score (1-5)</t>
  </si>
  <si>
    <t xml:space="preserve">Observations / éléments probants</t>
  </si>
  <si>
    <t xml:space="preserve">Moyenne composante</t>
  </si>
  <si>
    <t xml:space="preserve">Environnement de contrôle</t>
  </si>
  <si>
    <t xml:space="preserve">Code de conduite et valeurs éthiques formalisés, diffusés et connus du personnel</t>
  </si>
  <si>
    <t xml:space="preserve">Charte existe et signée par tous, mais pas revue depuis 3 ans</t>
  </si>
  <si>
    <t xml:space="preserve">Organigramme et fiches de poste à jour ; séparation des tâches respectée dans les faits</t>
  </si>
  <si>
    <t xml:space="preserve">Organigramme à jour ; cumul demande/validation observé sur 2 postes</t>
  </si>
  <si>
    <t xml:space="preserve">Politique RH (recrutement, évaluation, sanctions) appliquée de façon cohérente et documentée</t>
  </si>
  <si>
    <t xml:space="preserve">Évaluations annuelles rarement complétées, aucune trace des sanctions</t>
  </si>
  <si>
    <t xml:space="preserve">Évaluation des risques</t>
  </si>
  <si>
    <t xml:space="preserve">Cartographie des risques existante, formalisée et mise à jour au moins annuellement</t>
  </si>
  <si>
    <t xml:space="preserve">Dernière cartographie datée d'il y a 2 ans, jamais actualisée</t>
  </si>
  <si>
    <t xml:space="preserve">Processus spécifique d'identification et de suivi des risques de fraude</t>
  </si>
  <si>
    <t xml:space="preserve">Aucun processus formel ; traitement au cas par cas</t>
  </si>
  <si>
    <t xml:space="preserve">Risques liés au changement (nouveaux projets, bailleurs, systèmes) anticipés et documentés</t>
  </si>
  <si>
    <t xml:space="preserve">Nouveau bailleur intégré sans revue des seuils de délégation</t>
  </si>
  <si>
    <t xml:space="preserve">Activités de contrôle</t>
  </si>
  <si>
    <t xml:space="preserve">Procédures d'autorisation et de délégation formalisées et effectivement respectées</t>
  </si>
  <si>
    <t xml:space="preserve">Seuils clairs et globalement respectés sur l'échantillon testé</t>
  </si>
  <si>
    <t xml:space="preserve">Séparation des tâches effective sur le cycle achats-paiements (demande / validation / paiement)</t>
  </si>
  <si>
    <t xml:space="preserve">Trois rôles distincts confirmés sur le cycle achats</t>
  </si>
  <si>
    <t xml:space="preserve">Contrôles physiques (inventaires, rapprochements bancaires) réalisés périodiquement et tracés</t>
  </si>
  <si>
    <t xml:space="preserve">Rapprochements bancaires mensuels ; inventaire stock trimestriel incomplet</t>
  </si>
  <si>
    <t xml:space="preserve">Information &amp; communication</t>
  </si>
  <si>
    <t xml:space="preserve">Systèmes d'information financière fiables, à jour et accessibles aux bons niveaux hiérarchiques</t>
  </si>
  <si>
    <t xml:space="preserve">Logiciel comptable à jour mais accès non restreint par profil</t>
  </si>
  <si>
    <t xml:space="preserve">Canal de remontée d'alerte (whistleblowing) connu du personnel et effectivement fonctionnel</t>
  </si>
  <si>
    <t xml:space="preserve">Canal existe au siège, mais inconnu de l'équipe terrain interrogée</t>
  </si>
  <si>
    <t xml:space="preserve">Pilotage</t>
  </si>
  <si>
    <t xml:space="preserve">Supervision hiérarchique régulière et documentée (visites terrain, revues de dossiers)</t>
  </si>
  <si>
    <t xml:space="preserve">Visites terrain trimestrielles, comptes rendus partiels</t>
  </si>
  <si>
    <t xml:space="preserve">Suivi formalisé des plans d'action issus des audits ou contrôles précédents</t>
  </si>
  <si>
    <t xml:space="preserve">Aucun tableau de suivi des recommandations du contrôle précédent</t>
  </si>
  <si>
    <t xml:space="preserve">SCORE GLOBAL PONDÉRÉ (moyenne des 5 composantes, poids égal)</t>
  </si>
  <si>
    <t xml:space="preserve">Seuil d'alerte : toute composante (colonne « Moyenne composante ») ou score global sous 3/5 est automatiquement signalé en rouge — c'est la priorité de vos tests détaillés.</t>
  </si>
  <si>
    <t xml:space="preserve">SYNTHÈSE PAR COMPOSANTE COSO</t>
  </si>
  <si>
    <t xml:space="preserve">Calculée automatiquement à partir de l'onglet « Auto-évaluation COSO » — ne pas modifier les formules.</t>
  </si>
  <si>
    <t xml:space="preserve">Moyenne (/5)</t>
  </si>
  <si>
    <t xml:space="preserve">Statut</t>
  </si>
  <si>
    <t xml:space="preserve">SCORE GLOBAL PONDÉRÉ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</si>
</sst>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i val="true"/>
      <sz val="9"/>
      <color rgb="FF92400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E3A8A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E3A8A"/>
      <name val="Arial"/>
      <family val="0"/>
      <charset val="1"/>
    </font>
    <font>
      <b val="true"/>
      <sz val="14"/>
      <color rgb="FF047857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FEF3C7"/>
        <bgColor rgb="FFFDE2E1"/>
      </patternFill>
    </fill>
    <fill>
      <patternFill patternType="solid">
        <fgColor rgb="FF047857"/>
        <bgColor rgb="FF008080"/>
      </patternFill>
    </fill>
    <fill>
      <patternFill patternType="solid">
        <fgColor rgb="FFECFDF5"/>
        <bgColor rgb="FFF3F4F6"/>
      </patternFill>
    </fill>
    <fill>
      <patternFill patternType="solid">
        <fgColor rgb="FFF3F4F6"/>
        <bgColor rgb="FFECFD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B91C1C"/>
        <sz val="10"/>
      </font>
      <fill>
        <patternFill>
          <bgColor rgb="FFFDE2E1"/>
        </patternFill>
      </fill>
    </dxf>
    <dxf>
      <font>
        <name val="Arial"/>
        <charset val="1"/>
        <family val="0"/>
        <b val="1"/>
        <color rgb="FFB91C1C"/>
        <sz val="14"/>
      </font>
      <fill>
        <patternFill>
          <bgColor rgb="FFFDE2E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B91C1C"/>
      <rgbColor rgb="FFFEF3C7"/>
      <rgbColor rgb="FFECFDF5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DE2E1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2400E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42"/>
    <col collapsed="false" customWidth="true" hidden="false" outlineLevel="0" max="5" min="5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3" customFormat="false" ht="25.5" hidden="false" customHeight="true" outlineLevel="0" collapsed="false">
      <c r="A3" s="3" t="s">
        <v>2</v>
      </c>
      <c r="B3" s="3"/>
      <c r="C3" s="3"/>
      <c r="D3" s="3"/>
      <c r="E3" s="3"/>
    </row>
    <row r="4" customFormat="false" ht="24" hidden="false" customHeight="true" outlineLevel="0" collapsed="false">
      <c r="A4" s="4" t="s">
        <v>3</v>
      </c>
      <c r="B4" s="4"/>
      <c r="C4" s="4"/>
      <c r="D4" s="4"/>
      <c r="E4" s="4"/>
    </row>
    <row r="5" customFormat="false" ht="30" hidden="false" customHeight="true" outlineLevel="0" collapsed="false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</row>
    <row r="6" customFormat="false" ht="30" hidden="false" customHeight="true" outlineLevel="0" collapsed="false">
      <c r="A6" s="6" t="s">
        <v>9</v>
      </c>
      <c r="B6" s="7" t="s">
        <v>10</v>
      </c>
      <c r="C6" s="8" t="n">
        <v>4</v>
      </c>
      <c r="D6" s="7" t="s">
        <v>11</v>
      </c>
      <c r="E6" s="9" t="n">
        <f aca="false">AVERAGE(C6:C8)</f>
        <v>3</v>
      </c>
    </row>
    <row r="7" customFormat="false" ht="30" hidden="false" customHeight="true" outlineLevel="0" collapsed="false">
      <c r="A7" s="6"/>
      <c r="B7" s="7" t="s">
        <v>12</v>
      </c>
      <c r="C7" s="8" t="n">
        <v>3</v>
      </c>
      <c r="D7" s="7" t="s">
        <v>13</v>
      </c>
      <c r="E7" s="9"/>
    </row>
    <row r="8" customFormat="false" ht="30" hidden="false" customHeight="true" outlineLevel="0" collapsed="false">
      <c r="A8" s="6"/>
      <c r="B8" s="7" t="s">
        <v>14</v>
      </c>
      <c r="C8" s="8" t="n">
        <v>2</v>
      </c>
      <c r="D8" s="7" t="s">
        <v>15</v>
      </c>
      <c r="E8" s="9"/>
    </row>
    <row r="9" customFormat="false" ht="30" hidden="false" customHeight="true" outlineLevel="0" collapsed="false">
      <c r="A9" s="10" t="s">
        <v>16</v>
      </c>
      <c r="B9" s="11" t="s">
        <v>17</v>
      </c>
      <c r="C9" s="12" t="n">
        <v>2</v>
      </c>
      <c r="D9" s="11" t="s">
        <v>18</v>
      </c>
      <c r="E9" s="13" t="n">
        <f aca="false">AVERAGE(C9:C11)</f>
        <v>2.33333333333333</v>
      </c>
    </row>
    <row r="10" customFormat="false" ht="30" hidden="false" customHeight="true" outlineLevel="0" collapsed="false">
      <c r="A10" s="10"/>
      <c r="B10" s="11" t="s">
        <v>19</v>
      </c>
      <c r="C10" s="12" t="n">
        <v>2</v>
      </c>
      <c r="D10" s="11" t="s">
        <v>20</v>
      </c>
      <c r="E10" s="13"/>
    </row>
    <row r="11" customFormat="false" ht="30" hidden="false" customHeight="true" outlineLevel="0" collapsed="false">
      <c r="A11" s="10"/>
      <c r="B11" s="11" t="s">
        <v>21</v>
      </c>
      <c r="C11" s="12" t="n">
        <v>3</v>
      </c>
      <c r="D11" s="11" t="s">
        <v>22</v>
      </c>
      <c r="E11" s="13"/>
    </row>
    <row r="12" customFormat="false" ht="30" hidden="false" customHeight="true" outlineLevel="0" collapsed="false">
      <c r="A12" s="6" t="s">
        <v>23</v>
      </c>
      <c r="B12" s="7" t="s">
        <v>24</v>
      </c>
      <c r="C12" s="8" t="n">
        <v>4</v>
      </c>
      <c r="D12" s="7" t="s">
        <v>25</v>
      </c>
      <c r="E12" s="9" t="n">
        <f aca="false">AVERAGE(C12:C14)</f>
        <v>3.66666666666667</v>
      </c>
    </row>
    <row r="13" customFormat="false" ht="30" hidden="false" customHeight="true" outlineLevel="0" collapsed="false">
      <c r="A13" s="6"/>
      <c r="B13" s="7" t="s">
        <v>26</v>
      </c>
      <c r="C13" s="8" t="n">
        <v>4</v>
      </c>
      <c r="D13" s="7" t="s">
        <v>27</v>
      </c>
      <c r="E13" s="9"/>
    </row>
    <row r="14" customFormat="false" ht="30" hidden="false" customHeight="true" outlineLevel="0" collapsed="false">
      <c r="A14" s="6"/>
      <c r="B14" s="7" t="s">
        <v>28</v>
      </c>
      <c r="C14" s="8" t="n">
        <v>3</v>
      </c>
      <c r="D14" s="7" t="s">
        <v>29</v>
      </c>
      <c r="E14" s="9"/>
    </row>
    <row r="15" customFormat="false" ht="30" hidden="false" customHeight="true" outlineLevel="0" collapsed="false">
      <c r="A15" s="10" t="s">
        <v>30</v>
      </c>
      <c r="B15" s="11" t="s">
        <v>31</v>
      </c>
      <c r="C15" s="12" t="n">
        <v>3</v>
      </c>
      <c r="D15" s="11" t="s">
        <v>32</v>
      </c>
      <c r="E15" s="13" t="n">
        <f aca="false">AVERAGE(C15:C16)</f>
        <v>2.5</v>
      </c>
    </row>
    <row r="16" customFormat="false" ht="30" hidden="false" customHeight="true" outlineLevel="0" collapsed="false">
      <c r="A16" s="10"/>
      <c r="B16" s="11" t="s">
        <v>33</v>
      </c>
      <c r="C16" s="12" t="n">
        <v>2</v>
      </c>
      <c r="D16" s="11" t="s">
        <v>34</v>
      </c>
      <c r="E16" s="13"/>
    </row>
    <row r="17" customFormat="false" ht="30" hidden="false" customHeight="true" outlineLevel="0" collapsed="false">
      <c r="A17" s="6" t="s">
        <v>35</v>
      </c>
      <c r="B17" s="7" t="s">
        <v>36</v>
      </c>
      <c r="C17" s="8" t="n">
        <v>3</v>
      </c>
      <c r="D17" s="7" t="s">
        <v>37</v>
      </c>
      <c r="E17" s="9" t="n">
        <f aca="false">AVERAGE(C17:C18)</f>
        <v>2.5</v>
      </c>
    </row>
    <row r="18" customFormat="false" ht="30" hidden="false" customHeight="true" outlineLevel="0" collapsed="false">
      <c r="A18" s="6"/>
      <c r="B18" s="7" t="s">
        <v>38</v>
      </c>
      <c r="C18" s="8" t="n">
        <v>2</v>
      </c>
      <c r="D18" s="7" t="s">
        <v>39</v>
      </c>
      <c r="E18" s="9"/>
    </row>
    <row r="20" customFormat="false" ht="21.75" hidden="false" customHeight="true" outlineLevel="0" collapsed="false">
      <c r="A20" s="14" t="s">
        <v>40</v>
      </c>
      <c r="B20" s="14"/>
      <c r="C20" s="14"/>
      <c r="D20" s="14"/>
      <c r="E20" s="15" t="n">
        <f aca="false">AVERAGE(E6,E9,E12,E15,E17)</f>
        <v>2.8</v>
      </c>
    </row>
    <row r="22" customFormat="false" ht="25.5" hidden="false" customHeight="true" outlineLevel="0" collapsed="false">
      <c r="A22" s="3" t="s">
        <v>41</v>
      </c>
      <c r="B22" s="3"/>
      <c r="C22" s="3"/>
      <c r="D22" s="3"/>
      <c r="E22" s="3"/>
    </row>
  </sheetData>
  <mergeCells count="16">
    <mergeCell ref="A1:E1"/>
    <mergeCell ref="A2:E2"/>
    <mergeCell ref="A3:E3"/>
    <mergeCell ref="A4:E4"/>
    <mergeCell ref="A6:A8"/>
    <mergeCell ref="E6:E8"/>
    <mergeCell ref="A9:A11"/>
    <mergeCell ref="E9:E11"/>
    <mergeCell ref="A12:A14"/>
    <mergeCell ref="E12:E14"/>
    <mergeCell ref="A15:A16"/>
    <mergeCell ref="E15:E16"/>
    <mergeCell ref="A17:A18"/>
    <mergeCell ref="E17:E18"/>
    <mergeCell ref="A20:D20"/>
    <mergeCell ref="A22:E22"/>
  </mergeCells>
  <conditionalFormatting sqref="E6:E18">
    <cfRule type="cellIs" priority="2" operator="lessThan" aboveAverage="0" equalAverage="0" bottom="0" percent="0" rank="0" text="" dxfId="0">
      <formula>3</formula>
    </cfRule>
  </conditionalFormatting>
  <conditionalFormatting sqref="E20">
    <cfRule type="cellIs" priority="3" operator="lessThan" aboveAverage="0" equalAverage="0" bottom="0" percent="0" rank="0" text="" dxfId="1">
      <formula>3</formula>
    </cfRule>
  </conditionalFormatting>
  <dataValidations count="1">
    <dataValidation allowBlank="true" error="Merci de saisir un score entre 1 et 5." errorStyle="stop" errorTitle="Score invalide" operator="between" showDropDown="false" showErrorMessage="false" showInputMessage="false" sqref="C6:C18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34"/>
  </cols>
  <sheetData>
    <row r="1" customFormat="false" ht="27.75" hidden="false" customHeight="true" outlineLevel="0" collapsed="false">
      <c r="A1" s="1" t="s">
        <v>42</v>
      </c>
      <c r="B1" s="1"/>
      <c r="C1" s="1"/>
    </row>
    <row r="2" customFormat="false" ht="15" hidden="false" customHeight="false" outlineLevel="0" collapsed="false">
      <c r="A2" s="2" t="s">
        <v>43</v>
      </c>
      <c r="B2" s="2"/>
      <c r="C2" s="2"/>
    </row>
    <row r="4" customFormat="false" ht="25.5" hidden="false" customHeight="true" outlineLevel="0" collapsed="false">
      <c r="A4" s="5" t="s">
        <v>4</v>
      </c>
      <c r="B4" s="5" t="s">
        <v>44</v>
      </c>
      <c r="C4" s="5" t="s">
        <v>45</v>
      </c>
    </row>
    <row r="5" customFormat="false" ht="15" hidden="false" customHeight="false" outlineLevel="0" collapsed="false">
      <c r="A5" s="7" t="s">
        <v>9</v>
      </c>
      <c r="B5" s="16" t="n">
        <f aca="false">'Auto-évaluation COSO'!E6</f>
        <v>3</v>
      </c>
      <c r="C5" s="8" t="str">
        <f aca="false">IF(B5&lt;3,"⚠ Sous le seuil — à approfondir","OK")</f>
        <v>OK</v>
      </c>
    </row>
    <row r="6" customFormat="false" ht="15" hidden="false" customHeight="false" outlineLevel="0" collapsed="false">
      <c r="A6" s="7" t="s">
        <v>16</v>
      </c>
      <c r="B6" s="16" t="n">
        <f aca="false">'Auto-évaluation COSO'!E9</f>
        <v>2.33333333333333</v>
      </c>
      <c r="C6" s="8" t="str">
        <f aca="false">IF(B6&lt;3,"⚠ Sous le seuil — à approfondir","OK")</f>
        <v>⚠ Sous le seuil — à approfondir</v>
      </c>
    </row>
    <row r="7" customFormat="false" ht="15" hidden="false" customHeight="false" outlineLevel="0" collapsed="false">
      <c r="A7" s="7" t="s">
        <v>23</v>
      </c>
      <c r="B7" s="16" t="n">
        <f aca="false">'Auto-évaluation COSO'!E12</f>
        <v>3.66666666666667</v>
      </c>
      <c r="C7" s="8" t="str">
        <f aca="false">IF(B7&lt;3,"⚠ Sous le seuil — à approfondir","OK")</f>
        <v>OK</v>
      </c>
    </row>
    <row r="8" customFormat="false" ht="15" hidden="false" customHeight="false" outlineLevel="0" collapsed="false">
      <c r="A8" s="7" t="s">
        <v>30</v>
      </c>
      <c r="B8" s="16" t="n">
        <f aca="false">'Auto-évaluation COSO'!E15</f>
        <v>2.5</v>
      </c>
      <c r="C8" s="8" t="str">
        <f aca="false">IF(B8&lt;3,"⚠ Sous le seuil — à approfondir","OK")</f>
        <v>⚠ Sous le seuil — à approfondir</v>
      </c>
    </row>
    <row r="9" customFormat="false" ht="15" hidden="false" customHeight="false" outlineLevel="0" collapsed="false">
      <c r="A9" s="7" t="s">
        <v>35</v>
      </c>
      <c r="B9" s="16" t="n">
        <f aca="false">'Auto-évaluation COSO'!E17</f>
        <v>2.5</v>
      </c>
      <c r="C9" s="8" t="str">
        <f aca="false">IF(B9&lt;3,"⚠ Sous le seuil — à approfondir","OK")</f>
        <v>⚠ Sous le seuil — à approfondir</v>
      </c>
    </row>
    <row r="11" customFormat="false" ht="21.75" hidden="false" customHeight="true" outlineLevel="0" collapsed="false">
      <c r="A11" s="17" t="s">
        <v>46</v>
      </c>
      <c r="B11" s="15" t="n">
        <f aca="false">AVERAGE(B5:B9)</f>
        <v>2.8</v>
      </c>
      <c r="C11" s="18" t="str">
        <f aca="false">IF(B11&lt;3,"⚠ Plan d'action prioritaire","OK")</f>
        <v>⚠ Plan d'action prioritaire</v>
      </c>
    </row>
  </sheetData>
  <mergeCells count="2">
    <mergeCell ref="A1:C1"/>
    <mergeCell ref="A2:C2"/>
  </mergeCells>
  <conditionalFormatting sqref="B5:B11">
    <cfRule type="cellIs" priority="2" operator="lessThan" aboveAverage="0" equalAverage="0" bottom="0" percent="0" rank="0" text="" dxfId="0">
      <formula>3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2026-09-09T22:47:25Z</dcterms:created>
  <dc:creator>openpyxl</dc:creator>
  <dc:description/>
  <dc:language>fr-FR</dc:language>
  <cp:lastModifiedBy/>
  <dcterms:modified xsi:type="dcterms:W3CDTF">2026-09-09T22:47:25Z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