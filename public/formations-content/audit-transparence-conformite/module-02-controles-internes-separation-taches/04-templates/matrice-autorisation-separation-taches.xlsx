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trice d'autorisation" sheetId="1" state="visible" r:id="rId1"/>
    <sheet xmlns:r="http://schemas.openxmlformats.org/officeDocument/2006/relationships" name="Synthèse" sheetId="2" state="visible" r:id="rId2"/>
  </sheets>
  <definedNames>
    <definedName name="_xlnm.Print_Titles" localSheetId="0">'Matrice d''autorisation'!$1:$5</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4"/>
    </font>
    <font>
      <name val="Arial"/>
      <color rgb="006B7280"/>
      <sz val="9"/>
    </font>
    <font>
      <name val="Arial"/>
      <i val="1"/>
      <color rgb="006B7280"/>
      <sz val="9"/>
    </font>
    <font>
      <name val="Arial"/>
      <b val="1"/>
      <color rgb="00FFFFFF"/>
      <sz val="10"/>
    </font>
    <font>
      <name val="Arial"/>
      <sz val="9"/>
    </font>
    <font>
      <name val="Arial"/>
      <b val="1"/>
      <color rgb="001E3A8A"/>
      <sz val="10"/>
    </font>
    <font>
      <name val="Arial"/>
      <b val="1"/>
      <i val="1"/>
      <color rgb="006B7280"/>
      <sz val="9"/>
    </font>
    <font>
      <name val="Arial"/>
      <b val="1"/>
      <sz val="10"/>
    </font>
    <font>
      <name val="Arial"/>
      <b val="1"/>
      <color rgb="001E3A8A"/>
      <sz val="11"/>
    </font>
  </fonts>
  <fills count="5">
    <fill>
      <patternFill/>
    </fill>
    <fill>
      <patternFill patternType="gray125"/>
    </fill>
    <fill>
      <patternFill patternType="solid">
        <fgColor rgb="001E3A8A"/>
      </patternFill>
    </fill>
    <fill>
      <patternFill patternType="solid">
        <fgColor rgb="00ECFDF5"/>
      </patternFill>
    </fill>
    <fill>
      <patternFill patternType="solid">
        <fgColor rgb="00047857"/>
      </patternFill>
    </fill>
  </fills>
  <borders count="5">
    <border>
      <left/>
      <right/>
      <top/>
      <bottom/>
      <diagonal/>
    </border>
    <border>
      <left style="thin">
        <color rgb="00D1D5DB"/>
      </left>
      <right style="thin">
        <color rgb="00D1D5DB"/>
      </right>
      <top style="thin">
        <color rgb="00D1D5DB"/>
      </top>
      <bottom style="thin">
        <color rgb="00D1D5DB"/>
      </bottom>
    </border>
    <border>
      <left style="thin">
        <color rgb="00D1D5DB"/>
      </left>
      <right/>
      <top/>
      <bottom/>
      <diagonal/>
    </border>
    <border>
      <left style="thin">
        <color rgb="00D1D5DB"/>
      </left>
      <right style="thin">
        <color rgb="00D1D5DB"/>
      </right>
      <top/>
      <bottom/>
      <diagonal/>
    </border>
    <border>
      <left style="thin">
        <color rgb="00D1D5DB"/>
      </left>
      <right style="thin">
        <color rgb="00D1D5DB"/>
      </right>
      <top/>
      <bottom style="thin">
        <color rgb="00D1D5DB"/>
      </bottom>
      <diagonal/>
    </border>
  </borders>
  <cellStyleXfs count="1">
    <xf numFmtId="0" fontId="0" fillId="0" borderId="0"/>
  </cellStyleXfs>
  <cellXfs count="18">
    <xf numFmtId="0" fontId="0" fillId="0" borderId="0" pivotButton="0" quotePrefix="0" xfId="0"/>
    <xf numFmtId="0" fontId="1" fillId="2" borderId="0" applyAlignment="1" pivotButton="0" quotePrefix="0" xfId="0">
      <alignment horizontal="left" vertical="center" indent="1"/>
    </xf>
    <xf numFmtId="0" fontId="2" fillId="0" borderId="0" applyAlignment="1" pivotButton="0" quotePrefix="0" xfId="0">
      <alignment horizontal="left" vertical="center" indent="1"/>
    </xf>
    <xf numFmtId="0" fontId="3" fillId="3" borderId="0" applyAlignment="1" pivotButton="0" quotePrefix="0" xfId="0">
      <alignment horizontal="left" vertical="center" wrapText="1" indent="1"/>
    </xf>
    <xf numFmtId="0" fontId="4" fillId="4" borderId="1" applyAlignment="1" pivotButton="0" quotePrefix="0" xfId="0">
      <alignment horizontal="center" vertical="center" wrapText="1"/>
    </xf>
    <xf numFmtId="0" fontId="6" fillId="3" borderId="1" applyAlignment="1" pivotButton="0" quotePrefix="0" xfId="0">
      <alignment horizontal="left" vertical="center" wrapText="1" indent="1"/>
    </xf>
    <xf numFmtId="0" fontId="5" fillId="0" borderId="1" applyAlignment="1" pivotButton="0" quotePrefix="0" xfId="0">
      <alignment horizontal="left" vertical="center" wrapText="1"/>
    </xf>
    <xf numFmtId="0" fontId="6" fillId="0" borderId="1" applyAlignment="1" pivotButton="0" quotePrefix="0" xfId="0">
      <alignment horizontal="center" vertical="center"/>
    </xf>
    <xf numFmtId="0" fontId="6" fillId="0" borderId="1" applyAlignment="1" pivotButton="0" quotePrefix="0" xfId="0">
      <alignment horizontal="center" vertical="center" wrapText="1"/>
    </xf>
    <xf numFmtId="0" fontId="3" fillId="0" borderId="1" applyAlignment="1" pivotButton="0" quotePrefix="0" xfId="0">
      <alignment horizontal="left" vertical="top" wrapText="1"/>
    </xf>
    <xf numFmtId="0" fontId="0" fillId="0" borderId="3" pivotButton="0" quotePrefix="0" xfId="0"/>
    <xf numFmtId="0" fontId="0" fillId="0" borderId="1" pivotButton="0" quotePrefix="0" xfId="0"/>
    <xf numFmtId="0" fontId="0" fillId="0" borderId="4" pivotButton="0" quotePrefix="0" xfId="0"/>
    <xf numFmtId="0" fontId="7" fillId="3" borderId="1" applyAlignment="1" pivotButton="0" quotePrefix="0" xfId="0">
      <alignment horizontal="left" vertical="center" wrapText="1"/>
    </xf>
    <xf numFmtId="0" fontId="6" fillId="3" borderId="1" applyAlignment="1" pivotButton="0" quotePrefix="0" xfId="0">
      <alignment horizontal="center" vertical="center"/>
    </xf>
    <xf numFmtId="0" fontId="2" fillId="0" borderId="0" pivotButton="0" quotePrefix="0" xfId="0"/>
    <xf numFmtId="0" fontId="8" fillId="0" borderId="0" pivotButton="0" quotePrefix="0" xfId="0"/>
    <xf numFmtId="0" fontId="9" fillId="0" borderId="0" pivotButton="0" quotePrefix="0" xfId="0"/>
  </cellXfs>
  <cellStyles count="1">
    <cellStyle name="Normal" xfId="0" builtinId="0" hidden="0"/>
  </cellStyles>
  <dxfs count="2">
    <dxf>
      <font>
        <b val="1"/>
        <color rgb="00991B1B"/>
      </font>
      <fill>
        <patternFill patternType="solid">
          <fgColor rgb="00FEE2E2"/>
        </patternFill>
      </fill>
    </dxf>
    <dxf>
      <font>
        <b val="1"/>
        <color rgb="00065F46"/>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30"/>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30" customWidth="1" min="1" max="1"/>
    <col width="38" customWidth="1" min="2" max="2"/>
    <col width="17" customWidth="1" min="3" max="3"/>
    <col width="17" customWidth="1" min="4" max="4"/>
    <col width="17" customWidth="1" min="5" max="5"/>
    <col width="17" customWidth="1" min="6" max="6"/>
    <col width="17" customWidth="1" min="7" max="7"/>
    <col width="22" customWidth="1" min="8" max="8"/>
    <col width="36" customWidth="1" min="9" max="9"/>
  </cols>
  <sheetData>
    <row r="1" ht="27.75" customHeight="1">
      <c r="A1" s="1" t="inlineStr">
        <is>
          <t>MATRICE D'AUTORISATION &amp; SÉPARATION DES TÂCHES</t>
        </is>
      </c>
    </row>
    <row r="2" ht="18" customHeight="1">
      <c r="A2" s="2" t="inlineStr">
        <is>
          <t>Module 02 — Contrôles Internes — Séparation des Tâches &amp; Matrices d'Autorisation — BK-BOOST Ltd.</t>
        </is>
      </c>
    </row>
    <row r="3" ht="30" customHeight="1">
      <c r="A3" s="3" t="inlineStr">
        <is>
          <t>Mode d'emploi : pour chaque type d'opération, cochez d'un « X » quel rôle assure quelle fonction (colonnes réservées à la saisie). Dès qu'un même rôle cumule 2 fonctions ou plus sur la même opération, l'alerte « cumul à risque » se déclenche automatiquement dans la colonne dédiée. Adaptez les intitulés de rôles (ligne 5) à votre effectif réel.</t>
        </is>
      </c>
    </row>
    <row r="4" ht="6" customHeight="1"/>
    <row r="5" ht="42" customHeight="1">
      <c r="A5" s="4" t="inlineStr">
        <is>
          <t>Type d'opération</t>
        </is>
      </c>
      <c r="B5" s="4" t="inlineStr">
        <is>
          <t>Fonction</t>
        </is>
      </c>
      <c r="C5" s="4" t="inlineStr">
        <is>
          <t>Log Officer</t>
        </is>
      </c>
      <c r="D5" s="4" t="inlineStr">
        <is>
          <t>Finance Officer</t>
        </is>
      </c>
      <c r="E5" s="4" t="inlineStr">
        <is>
          <t>Coordinateur / Chef de base</t>
        </is>
      </c>
      <c r="F5" s="4" t="inlineStr">
        <is>
          <t>Country Director</t>
        </is>
      </c>
      <c r="G5" s="4" t="inlineStr">
        <is>
          <t>Poste 5 (à personnaliser)</t>
        </is>
      </c>
      <c r="H5" s="4" t="inlineStr">
        <is>
          <t>Alerte cumul à risque</t>
        </is>
      </c>
      <c r="I5" s="4" t="inlineStr">
        <is>
          <t>Contrôle compensatoire (si cumul assumé)</t>
        </is>
      </c>
    </row>
    <row r="6" ht="28" customHeight="1">
      <c r="A6" s="5" t="inlineStr">
        <is>
          <t>Émission bon de commande (PO)</t>
        </is>
      </c>
      <c r="B6" s="6" t="inlineStr">
        <is>
          <t>Initiation — Expression du besoin / choix du fournisseur</t>
        </is>
      </c>
      <c r="C6" s="7" t="n"/>
      <c r="D6" s="7" t="n"/>
      <c r="E6" s="7" t="n"/>
      <c r="F6" s="7" t="n"/>
      <c r="G6" s="7" t="n"/>
      <c r="H6" s="8">
        <f>IF(MAX(C10:G10)&gt;=2,"⚠ CUMUL À RISQUE","OK — séparation respectée")</f>
        <v/>
      </c>
      <c r="I6" s="9" t="inlineStr">
        <is>
          <t>Ex : contre-signature systématique du coordinateur au-delà d'un seuil défini, audit surprise renforcé...</t>
        </is>
      </c>
    </row>
    <row r="7" ht="28" customHeight="1">
      <c r="A7" s="10" t="n"/>
      <c r="B7" s="6" t="inlineStr">
        <is>
          <t>Approbation — Validation du bon de commande (seuil applicable)</t>
        </is>
      </c>
      <c r="C7" s="7" t="n"/>
      <c r="D7" s="7" t="n"/>
      <c r="E7" s="7" t="n"/>
      <c r="F7" s="7" t="n"/>
      <c r="G7" s="7" t="n"/>
      <c r="H7" s="11" t="n"/>
      <c r="I7" s="11" t="n"/>
    </row>
    <row r="8" ht="28" customHeight="1">
      <c r="A8" s="10" t="n"/>
      <c r="B8" s="6" t="inlineStr">
        <is>
          <t>Exécution — Envoi du PO / engagement auprès du fournisseur</t>
        </is>
      </c>
      <c r="C8" s="7" t="n"/>
      <c r="D8" s="7" t="n"/>
      <c r="E8" s="7" t="n"/>
      <c r="F8" s="7" t="n"/>
      <c r="G8" s="7" t="n"/>
      <c r="H8" s="11" t="n"/>
      <c r="I8" s="11" t="n"/>
    </row>
    <row r="9" ht="28" customHeight="1">
      <c r="A9" s="10" t="n"/>
      <c r="B9" s="6" t="inlineStr">
        <is>
          <t>Enregistrement / Contrôle — Enregistrement de l'engagement dans le suivi budgétaire</t>
        </is>
      </c>
      <c r="C9" s="7" t="n"/>
      <c r="D9" s="7" t="n"/>
      <c r="E9" s="7" t="n"/>
      <c r="F9" s="7" t="n"/>
      <c r="G9" s="7" t="n"/>
      <c r="H9" s="11" t="n"/>
      <c r="I9" s="11" t="n"/>
    </row>
    <row r="10" ht="22" customHeight="1">
      <c r="A10" s="12" t="n"/>
      <c r="B10" s="13" t="inlineStr">
        <is>
          <t>Nombre de fonctions tenues (calcul automatique)</t>
        </is>
      </c>
      <c r="C10" s="14">
        <f>COUNTIF(C6:C9,"X")</f>
        <v/>
      </c>
      <c r="D10" s="14">
        <f>COUNTIF(D6:D9,"X")</f>
        <v/>
      </c>
      <c r="E10" s="14">
        <f>COUNTIF(E6:E9,"X")</f>
        <v/>
      </c>
      <c r="F10" s="14">
        <f>COUNTIF(F6:F9,"X")</f>
        <v/>
      </c>
      <c r="G10" s="14">
        <f>COUNTIF(G6:G9,"X")</f>
        <v/>
      </c>
      <c r="H10" s="11" t="n"/>
      <c r="I10" s="11" t="n"/>
    </row>
    <row r="11" ht="28" customHeight="1">
      <c r="A11" s="5" t="inlineStr">
        <is>
          <t>Réception marchandise / stock</t>
        </is>
      </c>
      <c r="B11" s="6" t="inlineStr">
        <is>
          <t>Initiation — Demande de livraison au fournisseur</t>
        </is>
      </c>
      <c r="C11" s="7" t="n"/>
      <c r="D11" s="7" t="n"/>
      <c r="E11" s="7" t="n"/>
      <c r="F11" s="7" t="n"/>
      <c r="G11" s="7" t="n"/>
      <c r="H11" s="8">
        <f>IF(MAX(C15:G15)&gt;=2,"⚠ CUMUL À RISQUE","OK — séparation respectée")</f>
        <v/>
      </c>
      <c r="I11" s="9" t="inlineStr">
        <is>
          <t>Ex : contre-signature systématique du coordinateur au-delà d'un seuil défini, audit surprise renforcé...</t>
        </is>
      </c>
    </row>
    <row r="12" ht="28" customHeight="1">
      <c r="A12" s="10" t="n"/>
      <c r="B12" s="6" t="inlineStr">
        <is>
          <t>Approbation — Validation de la conformité à la réception (qualité/quantité)</t>
        </is>
      </c>
      <c r="C12" s="7" t="n"/>
      <c r="D12" s="7" t="n"/>
      <c r="E12" s="7" t="n"/>
      <c r="F12" s="7" t="n"/>
      <c r="G12" s="7" t="n"/>
      <c r="H12" s="11" t="n"/>
      <c r="I12" s="11" t="n"/>
    </row>
    <row r="13" ht="28" customHeight="1">
      <c r="A13" s="10" t="n"/>
      <c r="B13" s="6" t="inlineStr">
        <is>
          <t>Exécution — Réception physique et entrée en magasin</t>
        </is>
      </c>
      <c r="C13" s="7" t="n"/>
      <c r="D13" s="7" t="n"/>
      <c r="E13" s="7" t="n"/>
      <c r="F13" s="7" t="n"/>
      <c r="G13" s="7" t="n"/>
      <c r="H13" s="11" t="n"/>
      <c r="I13" s="11" t="n"/>
    </row>
    <row r="14" ht="28" customHeight="1">
      <c r="A14" s="10" t="n"/>
      <c r="B14" s="6" t="inlineStr">
        <is>
          <t>Enregistrement / Contrôle — Mise à jour de la fiche de stock / cahier de stock</t>
        </is>
      </c>
      <c r="C14" s="7" t="n"/>
      <c r="D14" s="7" t="n"/>
      <c r="E14" s="7" t="n"/>
      <c r="F14" s="7" t="n"/>
      <c r="G14" s="7" t="n"/>
      <c r="H14" s="11" t="n"/>
      <c r="I14" s="11" t="n"/>
    </row>
    <row r="15" ht="22" customHeight="1">
      <c r="A15" s="12" t="n"/>
      <c r="B15" s="13" t="inlineStr">
        <is>
          <t>Nombre de fonctions tenues (calcul automatique)</t>
        </is>
      </c>
      <c r="C15" s="14">
        <f>COUNTIF(C11:C14,"X")</f>
        <v/>
      </c>
      <c r="D15" s="14">
        <f>COUNTIF(D11:D14,"X")</f>
        <v/>
      </c>
      <c r="E15" s="14">
        <f>COUNTIF(E11:E14,"X")</f>
        <v/>
      </c>
      <c r="F15" s="14">
        <f>COUNTIF(F11:F14,"X")</f>
        <v/>
      </c>
      <c r="G15" s="14">
        <f>COUNTIF(G11:G14,"X")</f>
        <v/>
      </c>
      <c r="H15" s="11" t="n"/>
      <c r="I15" s="11" t="n"/>
    </row>
    <row r="16" ht="28" customHeight="1">
      <c r="A16" s="5" t="inlineStr">
        <is>
          <t>Approbation paiement</t>
        </is>
      </c>
      <c r="B16" s="6" t="inlineStr">
        <is>
          <t>Initiation — Constitution du dossier de paiement (PO + BL + facture)</t>
        </is>
      </c>
      <c r="C16" s="7" t="n"/>
      <c r="D16" s="7" t="n"/>
      <c r="E16" s="7" t="n"/>
      <c r="F16" s="7" t="n"/>
      <c r="G16" s="7" t="n"/>
      <c r="H16" s="8">
        <f>IF(MAX(C20:G20)&gt;=2,"⚠ CUMUL À RISQUE","OK — séparation respectée")</f>
        <v/>
      </c>
      <c r="I16" s="9" t="inlineStr">
        <is>
          <t>Ex : contre-signature systématique du coordinateur au-delà d'un seuil défini, audit surprise renforcé...</t>
        </is>
      </c>
    </row>
    <row r="17" ht="28" customHeight="1">
      <c r="A17" s="10" t="n"/>
      <c r="B17" s="6" t="inlineStr">
        <is>
          <t>Approbation — Approbation du paiement (seuil applicable)</t>
        </is>
      </c>
      <c r="C17" s="7" t="n"/>
      <c r="D17" s="7" t="n"/>
      <c r="E17" s="7" t="n"/>
      <c r="F17" s="7" t="n"/>
      <c r="G17" s="7" t="n"/>
      <c r="H17" s="11" t="n"/>
      <c r="I17" s="11" t="n"/>
    </row>
    <row r="18" ht="28" customHeight="1">
      <c r="A18" s="10" t="n"/>
      <c r="B18" s="6" t="inlineStr">
        <is>
          <t>Exécution — Exécution du paiement (virement, chèque, espèces)</t>
        </is>
      </c>
      <c r="C18" s="7" t="n"/>
      <c r="D18" s="7" t="n"/>
      <c r="E18" s="7" t="n"/>
      <c r="F18" s="7" t="n"/>
      <c r="G18" s="7" t="n"/>
      <c r="H18" s="11" t="n"/>
      <c r="I18" s="11" t="n"/>
    </row>
    <row r="19" ht="28" customHeight="1">
      <c r="A19" s="10" t="n"/>
      <c r="B19" s="6" t="inlineStr">
        <is>
          <t>Enregistrement / Contrôle — Comptabilisation du paiement et rapprochement</t>
        </is>
      </c>
      <c r="C19" s="7" t="n"/>
      <c r="D19" s="7" t="n"/>
      <c r="E19" s="7" t="n"/>
      <c r="F19" s="7" t="n"/>
      <c r="G19" s="7" t="n"/>
      <c r="H19" s="11" t="n"/>
      <c r="I19" s="11" t="n"/>
    </row>
    <row r="20" ht="22" customHeight="1">
      <c r="A20" s="12" t="n"/>
      <c r="B20" s="13" t="inlineStr">
        <is>
          <t>Nombre de fonctions tenues (calcul automatique)</t>
        </is>
      </c>
      <c r="C20" s="14">
        <f>COUNTIF(C16:C19,"X")</f>
        <v/>
      </c>
      <c r="D20" s="14">
        <f>COUNTIF(D16:D19,"X")</f>
        <v/>
      </c>
      <c r="E20" s="14">
        <f>COUNTIF(E16:E19,"X")</f>
        <v/>
      </c>
      <c r="F20" s="14">
        <f>COUNTIF(F16:F19,"X")</f>
        <v/>
      </c>
      <c r="G20" s="14">
        <f>COUNTIF(G16:G19,"X")</f>
        <v/>
      </c>
      <c r="H20" s="11" t="n"/>
      <c r="I20" s="11" t="n"/>
    </row>
    <row r="21" ht="28" customHeight="1">
      <c r="A21" s="5" t="inlineStr">
        <is>
          <t>Tenue de caisse (avances / décaissements)</t>
        </is>
      </c>
      <c r="B21" s="6" t="inlineStr">
        <is>
          <t>Initiation — Demande d'avance de caisse</t>
        </is>
      </c>
      <c r="C21" s="7" t="n"/>
      <c r="D21" s="7" t="n"/>
      <c r="E21" s="7" t="n"/>
      <c r="F21" s="7" t="n"/>
      <c r="G21" s="7" t="n"/>
      <c r="H21" s="8">
        <f>IF(MAX(C25:G25)&gt;=2,"⚠ CUMUL À RISQUE","OK — séparation respectée")</f>
        <v/>
      </c>
      <c r="I21" s="9" t="inlineStr">
        <is>
          <t>Ex : contre-signature systématique du coordinateur au-delà d'un seuil défini, audit surprise renforcé...</t>
        </is>
      </c>
    </row>
    <row r="22" ht="28" customHeight="1">
      <c r="A22" s="10" t="n"/>
      <c r="B22" s="6" t="inlineStr">
        <is>
          <t>Approbation — Approbation de l'avance ou du décaissement</t>
        </is>
      </c>
      <c r="C22" s="7" t="n"/>
      <c r="D22" s="7" t="n"/>
      <c r="E22" s="7" t="n"/>
      <c r="F22" s="7" t="n"/>
      <c r="G22" s="7" t="n"/>
      <c r="H22" s="11" t="n"/>
      <c r="I22" s="11" t="n"/>
    </row>
    <row r="23" ht="28" customHeight="1">
      <c r="A23" s="10" t="n"/>
      <c r="B23" s="6" t="inlineStr">
        <is>
          <t>Exécution — Décaissement physique des espèces</t>
        </is>
      </c>
      <c r="C23" s="7" t="n"/>
      <c r="D23" s="7" t="n"/>
      <c r="E23" s="7" t="n"/>
      <c r="F23" s="7" t="n"/>
      <c r="G23" s="7" t="n"/>
      <c r="H23" s="11" t="n"/>
      <c r="I23" s="11" t="n"/>
    </row>
    <row r="24" ht="28" customHeight="1">
      <c r="A24" s="10" t="n"/>
      <c r="B24" s="6" t="inlineStr">
        <is>
          <t>Enregistrement / Contrôle — Tenue du livre de caisse et rapprochement</t>
        </is>
      </c>
      <c r="C24" s="7" t="n"/>
      <c r="D24" s="7" t="n"/>
      <c r="E24" s="7" t="n"/>
      <c r="F24" s="7" t="n"/>
      <c r="G24" s="7" t="n"/>
      <c r="H24" s="11" t="n"/>
      <c r="I24" s="11" t="n"/>
    </row>
    <row r="25" ht="22" customHeight="1">
      <c r="A25" s="12" t="n"/>
      <c r="B25" s="13" t="inlineStr">
        <is>
          <t>Nombre de fonctions tenues (calcul automatique)</t>
        </is>
      </c>
      <c r="C25" s="14">
        <f>COUNTIF(C21:C24,"X")</f>
        <v/>
      </c>
      <c r="D25" s="14">
        <f>COUNTIF(D21:D24,"X")</f>
        <v/>
      </c>
      <c r="E25" s="14">
        <f>COUNTIF(E21:E24,"X")</f>
        <v/>
      </c>
      <c r="F25" s="14">
        <f>COUNTIF(F21:F24,"X")</f>
        <v/>
      </c>
      <c r="G25" s="14">
        <f>COUNTIF(G21:G24,"X")</f>
        <v/>
      </c>
      <c r="H25" s="11" t="n"/>
      <c r="I25" s="11" t="n"/>
    </row>
    <row r="26" ht="28" customHeight="1">
      <c r="A26" s="5" t="inlineStr">
        <is>
          <t>Comptabilisation / enregistrement comptable</t>
        </is>
      </c>
      <c r="B26" s="6" t="inlineStr">
        <is>
          <t>Initiation — Saisie de la pièce justificative</t>
        </is>
      </c>
      <c r="C26" s="7" t="n"/>
      <c r="D26" s="7" t="n"/>
      <c r="E26" s="7" t="n"/>
      <c r="F26" s="7" t="n"/>
      <c r="G26" s="7" t="n"/>
      <c r="H26" s="8">
        <f>IF(MAX(C30:G30)&gt;=2,"⚠ CUMUL À RISQUE","OK — séparation respectée")</f>
        <v/>
      </c>
      <c r="I26" s="9" t="inlineStr">
        <is>
          <t>Ex : contre-signature systématique du coordinateur au-delà d'un seuil défini, audit surprise renforcé...</t>
        </is>
      </c>
    </row>
    <row r="27" ht="28" customHeight="1">
      <c r="A27" s="10" t="n"/>
      <c r="B27" s="6" t="inlineStr">
        <is>
          <t>Approbation — Validation de l'écriture comptable</t>
        </is>
      </c>
      <c r="C27" s="7" t="n"/>
      <c r="D27" s="7" t="n"/>
      <c r="E27" s="7" t="n"/>
      <c r="F27" s="7" t="n"/>
      <c r="G27" s="7" t="n"/>
      <c r="H27" s="11" t="n"/>
      <c r="I27" s="11" t="n"/>
    </row>
    <row r="28" ht="28" customHeight="1">
      <c r="A28" s="10" t="n"/>
      <c r="B28" s="6" t="inlineStr">
        <is>
          <t>Exécution — Clôture de la période / verrouillage</t>
        </is>
      </c>
      <c r="C28" s="7" t="n"/>
      <c r="D28" s="7" t="n"/>
      <c r="E28" s="7" t="n"/>
      <c r="F28" s="7" t="n"/>
      <c r="G28" s="7" t="n"/>
      <c r="H28" s="11" t="n"/>
      <c r="I28" s="11" t="n"/>
    </row>
    <row r="29" ht="28" customHeight="1">
      <c r="A29" s="10" t="n"/>
      <c r="B29" s="6" t="inlineStr">
        <is>
          <t>Enregistrement / Contrôle — Contrôle et rapprochement bancaire</t>
        </is>
      </c>
      <c r="C29" s="7" t="n"/>
      <c r="D29" s="7" t="n"/>
      <c r="E29" s="7" t="n"/>
      <c r="F29" s="7" t="n"/>
      <c r="G29" s="7" t="n"/>
      <c r="H29" s="11" t="n"/>
      <c r="I29" s="11" t="n"/>
    </row>
    <row r="30" ht="22" customHeight="1">
      <c r="A30" s="12" t="n"/>
      <c r="B30" s="13" t="inlineStr">
        <is>
          <t>Nombre de fonctions tenues (calcul automatique)</t>
        </is>
      </c>
      <c r="C30" s="14">
        <f>COUNTIF(C26:C29,"X")</f>
        <v/>
      </c>
      <c r="D30" s="14">
        <f>COUNTIF(D26:D29,"X")</f>
        <v/>
      </c>
      <c r="E30" s="14">
        <f>COUNTIF(E26:E29,"X")</f>
        <v/>
      </c>
      <c r="F30" s="14">
        <f>COUNTIF(F26:F29,"X")</f>
        <v/>
      </c>
      <c r="G30" s="14">
        <f>COUNTIF(G26:G29,"X")</f>
        <v/>
      </c>
      <c r="H30" s="11" t="n"/>
      <c r="I30" s="11" t="n"/>
    </row>
  </sheetData>
  <mergeCells count="18">
    <mergeCell ref="I11:I15"/>
    <mergeCell ref="A2:I2"/>
    <mergeCell ref="A21:A25"/>
    <mergeCell ref="I26:I30"/>
    <mergeCell ref="H26:H30"/>
    <mergeCell ref="I21:I25"/>
    <mergeCell ref="H11:H15"/>
    <mergeCell ref="A16:A20"/>
    <mergeCell ref="H21:H25"/>
    <mergeCell ref="A1:I1"/>
    <mergeCell ref="I6:I10"/>
    <mergeCell ref="H16:H20"/>
    <mergeCell ref="I16:I20"/>
    <mergeCell ref="A3:I3"/>
    <mergeCell ref="A11:A15"/>
    <mergeCell ref="H6:H10"/>
    <mergeCell ref="A26:A30"/>
    <mergeCell ref="A6:A10"/>
  </mergeCells>
  <conditionalFormatting sqref="H6">
    <cfRule type="expression" priority="1" dxfId="0">
      <formula>H6="⚠ CUMUL À RISQUE"</formula>
    </cfRule>
    <cfRule type="expression" priority="2" dxfId="1">
      <formula>H6="OK — séparation respectée"</formula>
    </cfRule>
  </conditionalFormatting>
  <conditionalFormatting sqref="C10:G10">
    <cfRule type="cellIs" priority="3" operator="greaterThanOrEqual" dxfId="0">
      <formula>2</formula>
    </cfRule>
  </conditionalFormatting>
  <conditionalFormatting sqref="H11">
    <cfRule type="expression" priority="4" dxfId="0">
      <formula>H11="⚠ CUMUL À RISQUE"</formula>
    </cfRule>
    <cfRule type="expression" priority="5" dxfId="1">
      <formula>H11="OK — séparation respectée"</formula>
    </cfRule>
  </conditionalFormatting>
  <conditionalFormatting sqref="C15:G15">
    <cfRule type="cellIs" priority="6" operator="greaterThanOrEqual" dxfId="0">
      <formula>2</formula>
    </cfRule>
  </conditionalFormatting>
  <conditionalFormatting sqref="H16">
    <cfRule type="expression" priority="7" dxfId="0">
      <formula>H16="⚠ CUMUL À RISQUE"</formula>
    </cfRule>
    <cfRule type="expression" priority="8" dxfId="1">
      <formula>H16="OK — séparation respectée"</formula>
    </cfRule>
  </conditionalFormatting>
  <conditionalFormatting sqref="C20:G20">
    <cfRule type="cellIs" priority="9" operator="greaterThanOrEqual" dxfId="0">
      <formula>2</formula>
    </cfRule>
  </conditionalFormatting>
  <conditionalFormatting sqref="H21">
    <cfRule type="expression" priority="10" dxfId="0">
      <formula>H21="⚠ CUMUL À RISQUE"</formula>
    </cfRule>
    <cfRule type="expression" priority="11" dxfId="1">
      <formula>H21="OK — séparation respectée"</formula>
    </cfRule>
  </conditionalFormatting>
  <conditionalFormatting sqref="C25:G25">
    <cfRule type="cellIs" priority="12" operator="greaterThanOrEqual" dxfId="0">
      <formula>2</formula>
    </cfRule>
  </conditionalFormatting>
  <conditionalFormatting sqref="H26">
    <cfRule type="expression" priority="13" dxfId="0">
      <formula>H26="⚠ CUMUL À RISQUE"</formula>
    </cfRule>
    <cfRule type="expression" priority="14" dxfId="1">
      <formula>H26="OK — séparation respectée"</formula>
    </cfRule>
  </conditionalFormatting>
  <conditionalFormatting sqref="C30:G30">
    <cfRule type="cellIs" priority="15" operator="greaterThanOrEqual" dxfId="0">
      <formula>2</formula>
    </cfRule>
  </conditionalFormatting>
  <dataValidations count="1">
    <dataValidation sqref="C6 C7 C8 C9 C11 C12 C13 C14 C16 C17 C18 C19 C21 C22 C23 C24 C26 C27 C28 C29 D6 D7 D8 D9 D11 D12 D13 D14 D16 D17 D18 D19 D21 D22 D23 D24 D26 D27 D28 D29 E6 E7 E8 E9 E11 E12 E13 E14 E16 E17 E18 E19 E21 E22 E23 E24 E26 E27 E28 E29 F6 F7 F8 F9 F11 F12 F13 F14 F16 F17 F18 F19 F21 F22 F23 F24 F26 F27 F28 F29 G6 G7 G8 G9 G11 G12 G13 G14 G16 G17 G18 G19 G21 G22 G23 G24 G26 G27 G28 G29" showDropDown="0" showInputMessage="0" showErrorMessage="0" allowBlank="1" type="list">
      <formula1>"X"</formula1>
    </dataValidation>
  </dataValidation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sheetPr>
  <dimension ref="A1:B6"/>
  <sheetViews>
    <sheetView showGridLines="0" workbookViewId="0">
      <selection activeCell="A1" sqref="A1"/>
    </sheetView>
  </sheetViews>
  <sheetFormatPr baseColWidth="8" defaultRowHeight="15"/>
  <cols>
    <col width="42" customWidth="1" min="1" max="1"/>
    <col width="24" customWidth="1" min="2" max="2"/>
  </cols>
  <sheetData>
    <row r="1" ht="27.75" customHeight="1">
      <c r="A1" s="1" t="inlineStr">
        <is>
          <t>SYNTHÈSE DES CUMULS DÉTECTÉS</t>
        </is>
      </c>
    </row>
    <row r="2" ht="18" customHeight="1">
      <c r="A2" s="15" t="inlineStr">
        <is>
          <t>Calculé automatiquement à partir de la feuille « Matrice d'autorisation »</t>
        </is>
      </c>
    </row>
    <row r="4">
      <c r="A4" s="16" t="inlineStr">
        <is>
          <t>Nombre de types d'opération analysés</t>
        </is>
      </c>
      <c r="B4" s="17">
        <f>5</f>
        <v/>
      </c>
    </row>
    <row r="5">
      <c r="A5" s="16" t="inlineStr">
        <is>
          <t>Nombre de cumuls à risque détectés</t>
        </is>
      </c>
      <c r="B5" s="17">
        <f>COUNTIF('Matrice d''autorisation'!H6:H30,"⚠ CUMUL À RISQUE")</f>
        <v/>
      </c>
    </row>
    <row r="6">
      <c r="A6" s="16" t="inlineStr">
        <is>
          <t>Niveau d'alerte global</t>
        </is>
      </c>
      <c r="B6" s="17">
        <f>IF(B5&gt;=3,"⚠ ALERTE ÉLEVÉE",IF(B5&gt;=1,"À SURVEILLER","CONFORME"))</f>
        <v/>
      </c>
    </row>
  </sheetData>
  <mergeCells count="2">
    <mergeCell ref="A2:B2"/>
    <mergeCell ref="A1:B1"/>
  </mergeCells>
  <conditionalFormatting sqref="B6">
    <cfRule type="expression" priority="1" dxfId="0">
      <formula>B6="⚠ ALERTE ÉLEVÉE"</formula>
    </cfRule>
    <cfRule type="expression" priority="2" dxfId="1">
      <formula>B6="CONFORME"</formula>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2026-09-09T22:47:08Z</dcterms:created>
  <dcterms:modified xmlns:dcterms="http://purl.org/dc/terms/" xmlns:xsi="http://www.w3.org/2001/XMLSchema-instance" xsi:type="dcterms:W3CDTF">2026-09-09T22:47:08Z</dcterms:modified>
</cp:coreProperties>
</file>