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élection de l'échantillon" sheetId="1" state="visible" r:id="rId1"/>
    <sheet xmlns:r="http://schemas.openxmlformats.org/officeDocument/2006/relationships" name="Checklist par dossier"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i val="1"/>
      <color rgb="006B7280"/>
      <sz val="9"/>
    </font>
    <font>
      <name val="Arial"/>
      <b val="1"/>
      <color rgb="001E3A8A"/>
      <sz val="11"/>
    </font>
    <font>
      <name val="Arial"/>
      <sz val="10"/>
    </font>
    <font>
      <name val="Arial"/>
      <b val="1"/>
      <sz val="11"/>
    </font>
    <font>
      <name val="Arial"/>
      <i val="1"/>
      <color rgb="006B7280"/>
      <sz val="10"/>
    </font>
    <font>
      <name val="Arial"/>
      <b val="1"/>
      <color rgb="00FFFFFF"/>
      <sz val="10"/>
    </font>
    <font>
      <name val="Arial"/>
      <b val="1"/>
      <sz val="10"/>
    </font>
    <font>
      <name val="Arial"/>
      <b val="1"/>
      <color rgb="001E3A8A"/>
      <sz val="14"/>
    </font>
    <font>
      <name val="Arial"/>
      <b val="1"/>
      <color rgb="00FFFFFF"/>
      <sz val="11"/>
    </font>
    <font>
      <name val="Arial"/>
      <b val="1"/>
      <color rgb="00FFFFFF"/>
      <sz val="13"/>
    </font>
  </fonts>
  <fills count="6">
    <fill>
      <patternFill/>
    </fill>
    <fill>
      <patternFill patternType="gray125"/>
    </fill>
    <fill>
      <patternFill patternType="solid">
        <fgColor rgb="001E3A8A"/>
      </patternFill>
    </fill>
    <fill>
      <patternFill patternType="solid">
        <fgColor rgb="00ECFDF5"/>
      </patternFill>
    </fill>
    <fill>
      <patternFill patternType="solid">
        <fgColor rgb="00047857"/>
      </patternFill>
    </fill>
    <fill>
      <patternFill patternType="solid">
        <fgColor rgb="00FFFF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9" fontId="6" fillId="0" borderId="0" applyAlignment="1" pivotButton="0" quotePrefix="0" xfId="0">
      <alignment horizontal="center"/>
    </xf>
    <xf numFmtId="0" fontId="7" fillId="4" borderId="0" applyAlignment="1" pivotButton="0" quotePrefix="0" xfId="0">
      <alignment horizontal="left" vertical="center"/>
    </xf>
    <xf numFmtId="0" fontId="7" fillId="4" borderId="0" applyAlignment="1" pivotButton="0" quotePrefix="0" xfId="0">
      <alignment horizontal="center" vertical="center"/>
    </xf>
    <xf numFmtId="0" fontId="4" fillId="3" borderId="0" applyAlignment="1" pivotButton="0" quotePrefix="0" xfId="0">
      <alignment vertical="center" wrapText="1"/>
    </xf>
    <xf numFmtId="0" fontId="8" fillId="3" borderId="1" applyAlignment="1" pivotButton="0" quotePrefix="0" xfId="0">
      <alignment horizontal="center"/>
    </xf>
    <xf numFmtId="0" fontId="4" fillId="5" borderId="0" applyAlignment="1" pivotButton="0" quotePrefix="0" xfId="0">
      <alignment vertical="center" wrapText="1"/>
    </xf>
    <xf numFmtId="0" fontId="8" fillId="5" borderId="1" applyAlignment="1" pivotButton="0" quotePrefix="0" xfId="0">
      <alignment horizontal="center"/>
    </xf>
    <xf numFmtId="0" fontId="6" fillId="0" borderId="0" pivotButton="0" quotePrefix="0" xfId="0"/>
    <xf numFmtId="0" fontId="8" fillId="0" borderId="0" applyAlignment="1" pivotButton="0" quotePrefix="0" xfId="0">
      <alignment horizontal="center"/>
    </xf>
    <xf numFmtId="0" fontId="4" fillId="0" borderId="0" applyAlignment="1" pivotButton="0" quotePrefix="0" xfId="0">
      <alignment vertical="center" wrapText="1"/>
    </xf>
    <xf numFmtId="0" fontId="9" fillId="3" borderId="1" applyAlignment="1" pivotButton="0" quotePrefix="0" xfId="0">
      <alignment horizontal="center" vertical="center"/>
    </xf>
    <xf numFmtId="0" fontId="2" fillId="0" borderId="0" applyAlignment="1" pivotButton="0" quotePrefix="0" xfId="0">
      <alignment vertical="top" wrapText="1"/>
    </xf>
    <xf numFmtId="0" fontId="7" fillId="4" borderId="1" applyAlignment="1" pivotButton="0" quotePrefix="0" xfId="0">
      <alignment horizontal="center" vertical="center" wrapText="1"/>
    </xf>
    <xf numFmtId="0" fontId="4" fillId="3" borderId="1" applyAlignment="1" pivotButton="0" quotePrefix="0" xfId="0">
      <alignment horizontal="left" vertical="center"/>
    </xf>
    <xf numFmtId="3" fontId="4" fillId="3" borderId="1" applyAlignment="1" pivotButton="0" quotePrefix="0" xfId="0">
      <alignment horizontal="center" vertical="center"/>
    </xf>
    <xf numFmtId="0" fontId="4" fillId="3" borderId="1" applyAlignment="1" pivotButton="0" quotePrefix="0" xfId="0">
      <alignment horizontal="center" vertical="center"/>
    </xf>
    <xf numFmtId="9" fontId="8" fillId="3" borderId="1" applyAlignment="1" pivotButton="0" quotePrefix="0" xfId="0">
      <alignment horizontal="center" vertical="center"/>
    </xf>
    <xf numFmtId="0" fontId="4" fillId="3" borderId="1" applyAlignment="1" pivotButton="0" quotePrefix="0" xfId="0">
      <alignment horizontal="left" vertical="center" wrapText="1"/>
    </xf>
    <xf numFmtId="0" fontId="4" fillId="5" borderId="1" applyAlignment="1" pivotButton="0" quotePrefix="0" xfId="0">
      <alignment horizontal="left" vertical="center"/>
    </xf>
    <xf numFmtId="3" fontId="4" fillId="5" borderId="1" applyAlignment="1" pivotButton="0" quotePrefix="0" xfId="0">
      <alignment horizontal="center" vertical="center"/>
    </xf>
    <xf numFmtId="0" fontId="4" fillId="5" borderId="1" applyAlignment="1" pivotButton="0" quotePrefix="0" xfId="0">
      <alignment horizontal="center" vertical="center"/>
    </xf>
    <xf numFmtId="9" fontId="8" fillId="5" borderId="1" applyAlignment="1" pivotButton="0" quotePrefix="0" xfId="0">
      <alignment horizontal="center" vertical="center"/>
    </xf>
    <xf numFmtId="0" fontId="4" fillId="5" borderId="1" applyAlignment="1" pivotButton="0" quotePrefix="0" xfId="0">
      <alignment horizontal="left" vertical="center" wrapText="1"/>
    </xf>
    <xf numFmtId="0" fontId="10" fillId="2" borderId="0" applyAlignment="1" pivotButton="0" quotePrefix="0" xfId="0">
      <alignment horizontal="right" vertical="center"/>
    </xf>
    <xf numFmtId="9" fontId="1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20" customWidth="1" min="1" max="1"/>
    <col width="16" customWidth="1" min="2" max="2"/>
    <col width="16" customWidth="1" min="3" max="3"/>
    <col width="16" customWidth="1" min="4" max="4"/>
    <col width="14" customWidth="1" min="5" max="5"/>
    <col width="14" customWidth="1" min="6" max="6"/>
  </cols>
  <sheetData>
    <row r="1" ht="26" customHeight="1">
      <c r="A1" s="1" t="inlineStr">
        <is>
          <t>GRILLE D'AUDIT — SÉLECTION DE L'ÉCHANTILLON D'ACHATS PAR RISQUE</t>
        </is>
      </c>
    </row>
    <row r="2" ht="16" customHeight="1">
      <c r="A2" s="2" t="inlineStr">
        <is>
          <t>Module 03 — Audit de la Supply Chain &amp; des Achats — BK-BOOST Ltd.</t>
        </is>
      </c>
    </row>
    <row r="4" ht="18" customHeight="1">
      <c r="A4" s="3" t="inlineStr">
        <is>
          <t>1. Paramètres de la population et du contexte</t>
        </is>
      </c>
    </row>
    <row r="5">
      <c r="A5" s="4" t="inlineStr">
        <is>
          <t>Taille de la population totale de dossiers sur la période auditée</t>
        </is>
      </c>
      <c r="E5" s="5" t="n">
        <v>74</v>
      </c>
    </row>
    <row r="6">
      <c r="A6" s="4" t="inlineStr">
        <is>
          <t>Niveau de risque global du contexte (Faible / Modéré / Élevé)</t>
        </is>
      </c>
      <c r="E6" s="5" t="inlineStr">
        <is>
          <t>Élevé</t>
        </is>
      </c>
    </row>
    <row r="7">
      <c r="A7" s="2" t="inlineStr">
        <is>
          <t>Taux de base appliqué selon le niveau de risque</t>
        </is>
      </c>
      <c r="E7" s="6">
        <f>IF(E6="Faible",0.1,IF(E6="Modéré",0.2,0.35))</f>
        <v/>
      </c>
    </row>
    <row r="9" ht="18" customHeight="1">
      <c r="A9" s="3" t="inlineStr">
        <is>
          <t>2. Facteurs de risque aggravants observés (cocher Oui/Non)</t>
        </is>
      </c>
    </row>
    <row r="10" ht="18" customHeight="1">
      <c r="A10" s="7" t="inlineStr">
        <is>
          <t>Facteur de risque</t>
        </is>
      </c>
      <c r="E10" s="8" t="inlineStr">
        <is>
          <t>Présent sur ce bureau (Oui/Non)</t>
        </is>
      </c>
    </row>
    <row r="11" ht="28" customHeight="1">
      <c r="A11" s="9" t="inlineStr">
        <is>
          <t>Fournisseur unique ou dominant sur une part importante des dossiers de la période</t>
        </is>
      </c>
      <c r="E11" s="10" t="inlineStr">
        <is>
          <t>Non</t>
        </is>
      </c>
    </row>
    <row r="12" ht="28" customHeight="1">
      <c r="A12" s="11" t="inlineStr">
        <is>
          <t>Zone géographique à historique documenté d'irrégularités ou de corruption</t>
        </is>
      </c>
      <c r="E12" s="12" t="inlineStr">
        <is>
          <t>Non</t>
        </is>
      </c>
    </row>
    <row r="13" ht="28" customHeight="1">
      <c r="A13" s="9" t="inlineStr">
        <is>
          <t>Dossiers déjà signalés incomplets ou tardifs par le service achats lui-même</t>
        </is>
      </c>
      <c r="E13" s="10" t="inlineStr">
        <is>
          <t>Non</t>
        </is>
      </c>
    </row>
    <row r="14" ht="28" customHeight="1">
      <c r="A14" s="11" t="inlineStr">
        <is>
          <t>Montants récurrents juste sous un seuil d'autorisation (risque de fractionnement)</t>
        </is>
      </c>
      <c r="E14" s="12" t="inlineStr">
        <is>
          <t>Non</t>
        </is>
      </c>
    </row>
    <row r="15" ht="28" customHeight="1">
      <c r="A15" s="9" t="inlineStr">
        <is>
          <t>Rotation anormalement faible de fournisseurs gagnants sur les 12 derniers mois</t>
        </is>
      </c>
      <c r="E15" s="10" t="inlineStr">
        <is>
          <t>Non</t>
        </is>
      </c>
    </row>
    <row r="16">
      <c r="A16" s="13" t="inlineStr">
        <is>
          <t>Nombre de facteurs de risque cochés « Oui »</t>
        </is>
      </c>
      <c r="E16" s="14">
        <f>COUNTIF(E11:E15,"Oui")</f>
        <v/>
      </c>
    </row>
    <row r="18" ht="18" customHeight="1">
      <c r="A18" s="3" t="inlineStr">
        <is>
          <t>3. Taille d'échantillon suggérée</t>
        </is>
      </c>
    </row>
    <row r="19" ht="30" customHeight="1">
      <c r="A19" s="15" t="inlineStr">
        <is>
          <t>Taille d'échantillon indicative (population × taux de base + 3 dossiers par facteur de risque, minimum 10)</t>
        </is>
      </c>
      <c r="E19" s="16">
        <f>MIN(E5,MAX(10,ROUND(E5*E7,0)+E16*3))</f>
        <v/>
      </c>
    </row>
    <row r="20">
      <c r="A20" s="2" t="inlineStr">
        <is>
          <t>Soit un taux de couverture de la population de</t>
        </is>
      </c>
      <c r="E20" s="6">
        <f>E19/E5</f>
        <v/>
      </c>
    </row>
    <row r="22">
      <c r="A22" s="17" t="inlineStr">
        <is>
          <t>Note méthodologique : ce chiffre est un point de départ, jamais une formule à appliquer aveuglément. L'auditeur reste libre d'augmenter la taille de l'échantillon si des éléments qualitatifs le justifient (rumeur documentée, alerte interne, historique de constats non résolus), et de le motiver dans le rapport. Un échantillonnage par risque prime toujours sur un tirage aléatoire pur en audit d'achats en contexte humanitaire.</t>
        </is>
      </c>
    </row>
    <row r="23"/>
    <row r="24"/>
  </sheetData>
  <mergeCells count="27">
    <mergeCell ref="A5:D5"/>
    <mergeCell ref="E12:F12"/>
    <mergeCell ref="A20:D20"/>
    <mergeCell ref="E14:F14"/>
    <mergeCell ref="A18:F18"/>
    <mergeCell ref="A19:D19"/>
    <mergeCell ref="A10:D10"/>
    <mergeCell ref="A13:D13"/>
    <mergeCell ref="A2:F2"/>
    <mergeCell ref="E20:F20"/>
    <mergeCell ref="E10:F10"/>
    <mergeCell ref="E19:F19"/>
    <mergeCell ref="A15:D15"/>
    <mergeCell ref="E13:F13"/>
    <mergeCell ref="A4:F4"/>
    <mergeCell ref="A11:D11"/>
    <mergeCell ref="A6:D6"/>
    <mergeCell ref="E15:F15"/>
    <mergeCell ref="A22:F24"/>
    <mergeCell ref="A9:F9"/>
    <mergeCell ref="E11:F11"/>
    <mergeCell ref="A7:D7"/>
    <mergeCell ref="A16:D16"/>
    <mergeCell ref="E16:F16"/>
    <mergeCell ref="A12:D12"/>
    <mergeCell ref="A1:F1"/>
    <mergeCell ref="A14:D14"/>
  </mergeCells>
  <dataValidations count="2">
    <dataValidation sqref="E6" showDropDown="0" showInputMessage="0" showErrorMessage="0" allowBlank="0" type="list">
      <formula1>"Faible,Modéré,Élevé"</formula1>
    </dataValidation>
    <dataValidation sqref="E11 E12 E13 E14 E15" showDropDown="0" showInputMessage="0" showErrorMessage="0" allowBlank="0" type="list">
      <formula1>"Oui,Non"</formula1>
    </dataValidation>
  </dataValidations>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28"/>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13" customWidth="1" min="3" max="3"/>
    <col width="13" customWidth="1" min="4" max="4"/>
    <col width="16" customWidth="1" min="5" max="5"/>
    <col width="12" customWidth="1" min="6" max="6"/>
    <col width="14" customWidth="1" min="7" max="7"/>
    <col width="13" customWidth="1" min="8" max="8"/>
    <col width="32" customWidth="1" min="9" max="9"/>
  </cols>
  <sheetData>
    <row r="1" ht="26" customHeight="1">
      <c r="A1" s="1" t="inlineStr">
        <is>
          <t>GRILLE D'AUDIT — CHECKLIST DE CONFORMITÉ PAR DOSSIER D'ACHAT</t>
        </is>
      </c>
    </row>
    <row r="2" ht="16" customHeight="1">
      <c r="A2" s="2" t="inlineStr">
        <is>
          <t>Module 03 — Audit de la Supply Chain &amp; des Achats — BK-BOOST Ltd. — 1 ligne par dossier de l'échantillon</t>
        </is>
      </c>
    </row>
    <row r="4" ht="32" customHeight="1">
      <c r="A4" s="18" t="inlineStr">
        <is>
          <t>N° dossier</t>
        </is>
      </c>
      <c r="B4" s="18" t="inlineStr">
        <is>
          <t>Fournisseur</t>
        </is>
      </c>
      <c r="C4" s="18" t="inlineStr">
        <is>
          <t>Montant (USD)</t>
        </is>
      </c>
      <c r="D4" s="18" t="inlineStr">
        <is>
          <t>Seuil respecté ?</t>
        </is>
      </c>
      <c r="E4" s="18" t="inlineStr">
        <is>
          <t>Procédure correcte suivie ?</t>
        </is>
      </c>
      <c r="F4" s="18" t="inlineStr">
        <is>
          <t>CBA complète ?</t>
        </is>
      </c>
      <c r="G4" s="18" t="inlineStr">
        <is>
          <t>PV / quorum signé ?</t>
        </is>
      </c>
      <c r="H4" s="18" t="inlineStr">
        <is>
          <t>Score conformité</t>
        </is>
      </c>
      <c r="I4" s="18" t="inlineStr">
        <is>
          <t>Commentaire / pièce manquante</t>
        </is>
      </c>
    </row>
    <row r="5" ht="18" customHeight="1">
      <c r="A5" s="19" t="inlineStr">
        <is>
          <t>ACH-2025-014</t>
        </is>
      </c>
      <c r="B5" s="19" t="inlineStr">
        <is>
          <t>Agro-Delta Supplies</t>
        </is>
      </c>
      <c r="C5" s="20" t="n">
        <v>8200</v>
      </c>
      <c r="D5" s="21" t="inlineStr">
        <is>
          <t>Oui</t>
        </is>
      </c>
      <c r="E5" s="21" t="inlineStr">
        <is>
          <t>Oui</t>
        </is>
      </c>
      <c r="F5" s="21" t="inlineStr">
        <is>
          <t>Oui</t>
        </is>
      </c>
      <c r="G5" s="21" t="inlineStr">
        <is>
          <t>Oui</t>
        </is>
      </c>
      <c r="H5" s="22">
        <f>IF(COUNTBLANK(D5:G5)=4,"",(IF(D5="Oui",1,IF(D5="Partiel",0.5,0))+IF(E5="Oui",1,IF(E5="Partiel",0.5,0))+IF(F5="Oui",1,IF(F5="Partiel",0.5,0))+IF(G5="Oui",1,IF(G5="Partiel",0.5,0)))/4)</f>
        <v/>
      </c>
      <c r="I5" s="23" t="n"/>
    </row>
    <row r="6" ht="18" customHeight="1">
      <c r="A6" s="24" t="inlineStr">
        <is>
          <t>ACH-2025-019</t>
        </is>
      </c>
      <c r="B6" s="24" t="inlineStr">
        <is>
          <t>Novak Trading Ltd</t>
        </is>
      </c>
      <c r="C6" s="25" t="n">
        <v>7850</v>
      </c>
      <c r="D6" s="26" t="inlineStr">
        <is>
          <t>Oui</t>
        </is>
      </c>
      <c r="E6" s="26" t="inlineStr">
        <is>
          <t>Oui</t>
        </is>
      </c>
      <c r="F6" s="26" t="inlineStr">
        <is>
          <t>Oui</t>
        </is>
      </c>
      <c r="G6" s="26" t="inlineStr">
        <is>
          <t>Oui</t>
        </is>
      </c>
      <c r="H6" s="27">
        <f>IF(COUNTBLANK(D6:G6)=4,"",(IF(D6="Oui",1,IF(D6="Partiel",0.5,0))+IF(E6="Oui",1,IF(E6="Partiel",0.5,0))+IF(F6="Oui",1,IF(F6="Partiel",0.5,0))+IF(G6="Oui",1,IF(G6="Partiel",0.5,0)))/4)</f>
        <v/>
      </c>
      <c r="I6" s="28" t="n"/>
    </row>
    <row r="7" ht="18" customHeight="1">
      <c r="A7" s="19" t="inlineStr">
        <is>
          <t>ACH-2025-027</t>
        </is>
      </c>
      <c r="B7" s="19" t="inlineStr">
        <is>
          <t>Agro-Delta Supplies</t>
        </is>
      </c>
      <c r="C7" s="20" t="n">
        <v>9100</v>
      </c>
      <c r="D7" s="21" t="inlineStr">
        <is>
          <t>Oui</t>
        </is>
      </c>
      <c r="E7" s="21" t="inlineStr">
        <is>
          <t>Oui</t>
        </is>
      </c>
      <c r="F7" s="21" t="inlineStr">
        <is>
          <t>Oui</t>
        </is>
      </c>
      <c r="G7" s="21" t="inlineStr">
        <is>
          <t>Partiel</t>
        </is>
      </c>
      <c r="H7" s="22">
        <f>IF(COUNTBLANK(D7:G7)=4,"",(IF(D7="Oui",1,IF(D7="Partiel",0.5,0))+IF(E7="Oui",1,IF(E7="Partiel",0.5,0))+IF(F7="Oui",1,IF(F7="Partiel",0.5,0))+IF(G7="Oui",1,IF(G7="Partiel",0.5,0)))/4)</f>
        <v/>
      </c>
      <c r="I7" s="23" t="n"/>
    </row>
    <row r="8" ht="18" customHeight="1">
      <c r="A8" s="24" t="n"/>
      <c r="B8" s="24" t="n"/>
      <c r="C8" s="26" t="n"/>
      <c r="D8" s="26" t="n"/>
      <c r="E8" s="26" t="n"/>
      <c r="F8" s="26" t="n"/>
      <c r="G8" s="26" t="n"/>
      <c r="H8" s="27">
        <f>IF(COUNTBLANK(D8:G8)=4,"",(IF(D8="Oui",1,IF(D8="Partiel",0.5,0))+IF(E8="Oui",1,IF(E8="Partiel",0.5,0))+IF(F8="Oui",1,IF(F8="Partiel",0.5,0))+IF(G8="Oui",1,IF(G8="Partiel",0.5,0)))/4)</f>
        <v/>
      </c>
      <c r="I8" s="28" t="n"/>
    </row>
    <row r="9" ht="18" customHeight="1">
      <c r="A9" s="19" t="n"/>
      <c r="B9" s="19" t="n"/>
      <c r="C9" s="21" t="n"/>
      <c r="D9" s="21" t="n"/>
      <c r="E9" s="21" t="n"/>
      <c r="F9" s="21" t="n"/>
      <c r="G9" s="21" t="n"/>
      <c r="H9" s="22">
        <f>IF(COUNTBLANK(D9:G9)=4,"",(IF(D9="Oui",1,IF(D9="Partiel",0.5,0))+IF(E9="Oui",1,IF(E9="Partiel",0.5,0))+IF(F9="Oui",1,IF(F9="Partiel",0.5,0))+IF(G9="Oui",1,IF(G9="Partiel",0.5,0)))/4)</f>
        <v/>
      </c>
      <c r="I9" s="23" t="n"/>
    </row>
    <row r="10" ht="18" customHeight="1">
      <c r="A10" s="24" t="n"/>
      <c r="B10" s="24" t="n"/>
      <c r="C10" s="26" t="n"/>
      <c r="D10" s="26" t="n"/>
      <c r="E10" s="26" t="n"/>
      <c r="F10" s="26" t="n"/>
      <c r="G10" s="26" t="n"/>
      <c r="H10" s="27">
        <f>IF(COUNTBLANK(D10:G10)=4,"",(IF(D10="Oui",1,IF(D10="Partiel",0.5,0))+IF(E10="Oui",1,IF(E10="Partiel",0.5,0))+IF(F10="Oui",1,IF(F10="Partiel",0.5,0))+IF(G10="Oui",1,IF(G10="Partiel",0.5,0)))/4)</f>
        <v/>
      </c>
      <c r="I10" s="28" t="n"/>
    </row>
    <row r="11" ht="18" customHeight="1">
      <c r="A11" s="19" t="n"/>
      <c r="B11" s="19" t="n"/>
      <c r="C11" s="21" t="n"/>
      <c r="D11" s="21" t="n"/>
      <c r="E11" s="21" t="n"/>
      <c r="F11" s="21" t="n"/>
      <c r="G11" s="21" t="n"/>
      <c r="H11" s="22">
        <f>IF(COUNTBLANK(D11:G11)=4,"",(IF(D11="Oui",1,IF(D11="Partiel",0.5,0))+IF(E11="Oui",1,IF(E11="Partiel",0.5,0))+IF(F11="Oui",1,IF(F11="Partiel",0.5,0))+IF(G11="Oui",1,IF(G11="Partiel",0.5,0)))/4)</f>
        <v/>
      </c>
      <c r="I11" s="23" t="n"/>
    </row>
    <row r="12" ht="18" customHeight="1">
      <c r="A12" s="24" t="n"/>
      <c r="B12" s="24" t="n"/>
      <c r="C12" s="26" t="n"/>
      <c r="D12" s="26" t="n"/>
      <c r="E12" s="26" t="n"/>
      <c r="F12" s="26" t="n"/>
      <c r="G12" s="26" t="n"/>
      <c r="H12" s="27">
        <f>IF(COUNTBLANK(D12:G12)=4,"",(IF(D12="Oui",1,IF(D12="Partiel",0.5,0))+IF(E12="Oui",1,IF(E12="Partiel",0.5,0))+IF(F12="Oui",1,IF(F12="Partiel",0.5,0))+IF(G12="Oui",1,IF(G12="Partiel",0.5,0)))/4)</f>
        <v/>
      </c>
      <c r="I12" s="28" t="n"/>
    </row>
    <row r="13" ht="18" customHeight="1">
      <c r="A13" s="19" t="n"/>
      <c r="B13" s="19" t="n"/>
      <c r="C13" s="21" t="n"/>
      <c r="D13" s="21" t="n"/>
      <c r="E13" s="21" t="n"/>
      <c r="F13" s="21" t="n"/>
      <c r="G13" s="21" t="n"/>
      <c r="H13" s="22">
        <f>IF(COUNTBLANK(D13:G13)=4,"",(IF(D13="Oui",1,IF(D13="Partiel",0.5,0))+IF(E13="Oui",1,IF(E13="Partiel",0.5,0))+IF(F13="Oui",1,IF(F13="Partiel",0.5,0))+IF(G13="Oui",1,IF(G13="Partiel",0.5,0)))/4)</f>
        <v/>
      </c>
      <c r="I13" s="23" t="n"/>
    </row>
    <row r="14" ht="18" customHeight="1">
      <c r="A14" s="24" t="n"/>
      <c r="B14" s="24" t="n"/>
      <c r="C14" s="26" t="n"/>
      <c r="D14" s="26" t="n"/>
      <c r="E14" s="26" t="n"/>
      <c r="F14" s="26" t="n"/>
      <c r="G14" s="26" t="n"/>
      <c r="H14" s="27">
        <f>IF(COUNTBLANK(D14:G14)=4,"",(IF(D14="Oui",1,IF(D14="Partiel",0.5,0))+IF(E14="Oui",1,IF(E14="Partiel",0.5,0))+IF(F14="Oui",1,IF(F14="Partiel",0.5,0))+IF(G14="Oui",1,IF(G14="Partiel",0.5,0)))/4)</f>
        <v/>
      </c>
      <c r="I14" s="28" t="n"/>
    </row>
    <row r="15" ht="18" customHeight="1">
      <c r="A15" s="19" t="n"/>
      <c r="B15" s="19" t="n"/>
      <c r="C15" s="21" t="n"/>
      <c r="D15" s="21" t="n"/>
      <c r="E15" s="21" t="n"/>
      <c r="F15" s="21" t="n"/>
      <c r="G15" s="21" t="n"/>
      <c r="H15" s="22">
        <f>IF(COUNTBLANK(D15:G15)=4,"",(IF(D15="Oui",1,IF(D15="Partiel",0.5,0))+IF(E15="Oui",1,IF(E15="Partiel",0.5,0))+IF(F15="Oui",1,IF(F15="Partiel",0.5,0))+IF(G15="Oui",1,IF(G15="Partiel",0.5,0)))/4)</f>
        <v/>
      </c>
      <c r="I15" s="23" t="n"/>
    </row>
    <row r="16" ht="18" customHeight="1">
      <c r="A16" s="24" t="n"/>
      <c r="B16" s="24" t="n"/>
      <c r="C16" s="26" t="n"/>
      <c r="D16" s="26" t="n"/>
      <c r="E16" s="26" t="n"/>
      <c r="F16" s="26" t="n"/>
      <c r="G16" s="26" t="n"/>
      <c r="H16" s="27">
        <f>IF(COUNTBLANK(D16:G16)=4,"",(IF(D16="Oui",1,IF(D16="Partiel",0.5,0))+IF(E16="Oui",1,IF(E16="Partiel",0.5,0))+IF(F16="Oui",1,IF(F16="Partiel",0.5,0))+IF(G16="Oui",1,IF(G16="Partiel",0.5,0)))/4)</f>
        <v/>
      </c>
      <c r="I16" s="28" t="n"/>
    </row>
    <row r="17" ht="18" customHeight="1">
      <c r="A17" s="19" t="n"/>
      <c r="B17" s="19" t="n"/>
      <c r="C17" s="21" t="n"/>
      <c r="D17" s="21" t="n"/>
      <c r="E17" s="21" t="n"/>
      <c r="F17" s="21" t="n"/>
      <c r="G17" s="21" t="n"/>
      <c r="H17" s="22">
        <f>IF(COUNTBLANK(D17:G17)=4,"",(IF(D17="Oui",1,IF(D17="Partiel",0.5,0))+IF(E17="Oui",1,IF(E17="Partiel",0.5,0))+IF(F17="Oui",1,IF(F17="Partiel",0.5,0))+IF(G17="Oui",1,IF(G17="Partiel",0.5,0)))/4)</f>
        <v/>
      </c>
      <c r="I17" s="23" t="n"/>
    </row>
    <row r="18" ht="18" customHeight="1">
      <c r="A18" s="24" t="n"/>
      <c r="B18" s="24" t="n"/>
      <c r="C18" s="26" t="n"/>
      <c r="D18" s="26" t="n"/>
      <c r="E18" s="26" t="n"/>
      <c r="F18" s="26" t="n"/>
      <c r="G18" s="26" t="n"/>
      <c r="H18" s="27">
        <f>IF(COUNTBLANK(D18:G18)=4,"",(IF(D18="Oui",1,IF(D18="Partiel",0.5,0))+IF(E18="Oui",1,IF(E18="Partiel",0.5,0))+IF(F18="Oui",1,IF(F18="Partiel",0.5,0))+IF(G18="Oui",1,IF(G18="Partiel",0.5,0)))/4)</f>
        <v/>
      </c>
      <c r="I18" s="28" t="n"/>
    </row>
    <row r="19" ht="18" customHeight="1">
      <c r="A19" s="19" t="n"/>
      <c r="B19" s="19" t="n"/>
      <c r="C19" s="21" t="n"/>
      <c r="D19" s="21" t="n"/>
      <c r="E19" s="21" t="n"/>
      <c r="F19" s="21" t="n"/>
      <c r="G19" s="21" t="n"/>
      <c r="H19" s="22">
        <f>IF(COUNTBLANK(D19:G19)=4,"",(IF(D19="Oui",1,IF(D19="Partiel",0.5,0))+IF(E19="Oui",1,IF(E19="Partiel",0.5,0))+IF(F19="Oui",1,IF(F19="Partiel",0.5,0))+IF(G19="Oui",1,IF(G19="Partiel",0.5,0)))/4)</f>
        <v/>
      </c>
      <c r="I19" s="23" t="n"/>
    </row>
    <row r="20" ht="18" customHeight="1">
      <c r="A20" s="24" t="n"/>
      <c r="B20" s="24" t="n"/>
      <c r="C20" s="26" t="n"/>
      <c r="D20" s="26" t="n"/>
      <c r="E20" s="26" t="n"/>
      <c r="F20" s="26" t="n"/>
      <c r="G20" s="26" t="n"/>
      <c r="H20" s="27">
        <f>IF(COUNTBLANK(D20:G20)=4,"",(IF(D20="Oui",1,IF(D20="Partiel",0.5,0))+IF(E20="Oui",1,IF(E20="Partiel",0.5,0))+IF(F20="Oui",1,IF(F20="Partiel",0.5,0))+IF(G20="Oui",1,IF(G20="Partiel",0.5,0)))/4)</f>
        <v/>
      </c>
      <c r="I20" s="28" t="n"/>
    </row>
    <row r="21" ht="18" customHeight="1">
      <c r="A21" s="19" t="n"/>
      <c r="B21" s="19" t="n"/>
      <c r="C21" s="21" t="n"/>
      <c r="D21" s="21" t="n"/>
      <c r="E21" s="21" t="n"/>
      <c r="F21" s="21" t="n"/>
      <c r="G21" s="21" t="n"/>
      <c r="H21" s="22">
        <f>IF(COUNTBLANK(D21:G21)=4,"",(IF(D21="Oui",1,IF(D21="Partiel",0.5,0))+IF(E21="Oui",1,IF(E21="Partiel",0.5,0))+IF(F21="Oui",1,IF(F21="Partiel",0.5,0))+IF(G21="Oui",1,IF(G21="Partiel",0.5,0)))/4)</f>
        <v/>
      </c>
      <c r="I21" s="23" t="n"/>
    </row>
    <row r="22" ht="18" customHeight="1">
      <c r="A22" s="24" t="n"/>
      <c r="B22" s="24" t="n"/>
      <c r="C22" s="26" t="n"/>
      <c r="D22" s="26" t="n"/>
      <c r="E22" s="26" t="n"/>
      <c r="F22" s="26" t="n"/>
      <c r="G22" s="26" t="n"/>
      <c r="H22" s="27">
        <f>IF(COUNTBLANK(D22:G22)=4,"",(IF(D22="Oui",1,IF(D22="Partiel",0.5,0))+IF(E22="Oui",1,IF(E22="Partiel",0.5,0))+IF(F22="Oui",1,IF(F22="Partiel",0.5,0))+IF(G22="Oui",1,IF(G22="Partiel",0.5,0)))/4)</f>
        <v/>
      </c>
      <c r="I22" s="28" t="n"/>
    </row>
    <row r="24" ht="22" customHeight="1">
      <c r="A24" s="29" t="inlineStr">
        <is>
          <t>TAUX DE CONFORMITÉ GLOBAL DE L'ÉCHANTILLON</t>
        </is>
      </c>
      <c r="H24" s="30">
        <f>IFERROR(AVERAGEIF(H5:H22,"&lt;&gt;"),0)</f>
        <v/>
      </c>
    </row>
    <row r="26">
      <c r="A26" s="17" t="inlineStr">
        <is>
          <t>Rappel : un score élevé sur cette grille mesure uniquement la conformité procédurale de chaque dossier pris isolément. Il ne dit rien d'une éventuelle entente entre fournisseurs, qui ne se détecte qu'en comparant les dossiers gagnants entre eux sur l'ensemble de la population (voir 02-outils.md, Étape 5, et le template fiche-detection-collusion-fournisseurs.docx). Toute réponse « Non » ou « Partiel » doit être commentée avec la pièce précise manquante en colonne I.</t>
        </is>
      </c>
    </row>
    <row r="27"/>
    <row r="28"/>
  </sheetData>
  <mergeCells count="5">
    <mergeCell ref="A2:I2"/>
    <mergeCell ref="H24:I24"/>
    <mergeCell ref="A1:I1"/>
    <mergeCell ref="A24:G24"/>
    <mergeCell ref="A26:I28"/>
  </mergeCells>
  <dataValidations count="1">
    <dataValidation sqref="D5 D6 D7 D8 D9 D10 D11 D12 D13 D14 D15 D16 D17 D18 D19 D20 D21 D22 E5 E6 E7 E8 E9 E10 E11 E12 E13 E14 E15 E16 E17 E18 E19 E20 E21 E22 F5 F6 F7 F8 F9 F10 F11 F12 F13 F14 F15 F16 F17 F18 F19 F20 F21 F22 G5 G6 G7 G8 G9 G10 G11 G12 G13 G14 G15 G16 G17 G18 G19 G20 G21 G22" showDropDown="0" showInputMessage="0" showErrorMessage="0" allowBlank="0" type="list">
      <formula1>"Oui,Non,Partiel"</formula1>
    </dataValidation>
  </dataValidations>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2026-09-09T22:44:25Z</dcterms:created>
  <dcterms:modified xmlns:dcterms="http://purl.org/dc/terms/" xmlns:xsi="http://www.w3.org/2001/XMLSchema-instance" xsi:type="dcterms:W3CDTF">2026-09-09T22:44:25Z</dcterms:modified>
</cp:coreProperties>
</file>