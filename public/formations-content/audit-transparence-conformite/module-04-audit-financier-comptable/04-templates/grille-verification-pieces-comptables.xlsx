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Grille" sheetId="1" state="visible" r:id="rId3"/>
    <sheet name="Synthese-Patter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<sst xmlns="http://schemas.openxmlformats.org/spreadsheetml/2006/main" count="58" uniqueCount="44">
  <si>
    <t xml:space="preserve">GRILLE DE VÉRIFICATION DES PIÈCES COMPTABLES</t>
  </si>
  <si>
    <t xml:space="preserve">Module 04 — Audit Financier &amp; Comptable — BK-BOOST Ltd.</t>
  </si>
  <si>
    <t xml:space="preserve">Réf. transaction</t>
  </si>
  <si>
    <t xml:space="preserve">Date</t>
  </si>
  <si>
    <t xml:space="preserve">Mois (auto)</t>
  </si>
  <si>
    <t xml:space="preserve">Fournisseur / Bénéficiaire</t>
  </si>
  <si>
    <t xml:space="preserve">Montant ($)</t>
  </si>
  <si>
    <t xml:space="preserve">Ligne budgétaire</t>
  </si>
  <si>
    <t xml:space="preserve">Contrat/BC (O/N)</t>
  </si>
  <si>
    <t xml:space="preserve">Facture (O/N)</t>
  </si>
  <si>
    <t xml:space="preserve">Preuve paiement (O/N)</t>
  </si>
  <si>
    <t xml:space="preserve">Score complétude</t>
  </si>
  <si>
    <t xml:space="preserve">Légitimité (évaluation)</t>
  </si>
  <si>
    <t xml:space="preserve">Éligible ligne budgétaire (O/N)</t>
  </si>
  <si>
    <t xml:space="preserve">Statut global</t>
  </si>
  <si>
    <t xml:space="preserve">TX-2026-014</t>
  </si>
  <si>
    <t xml:space="preserve">Garage Bin Auto (entretien véhicule)</t>
  </si>
  <si>
    <t xml:space="preserve">Logistique - Entretien flotte</t>
  </si>
  <si>
    <t xml:space="preserve">O</t>
  </si>
  <si>
    <t xml:space="preserve">Légitime</t>
  </si>
  <si>
    <t xml:space="preserve">TX-2026-015</t>
  </si>
  <si>
    <t xml:space="preserve">Hôtel Concorde (atelier formation staff)</t>
  </si>
  <si>
    <t xml:space="preserve">Formation - Ateliers</t>
  </si>
  <si>
    <t xml:space="preserve">N</t>
  </si>
  <si>
    <t xml:space="preserve">À approfondir</t>
  </si>
  <si>
    <t xml:space="preserve">TX-2026-016</t>
  </si>
  <si>
    <t xml:space="preserve">Ets. Kavira Fournitures</t>
  </si>
  <si>
    <t xml:space="preserve">Administration - Fournitures bureau</t>
  </si>
  <si>
    <t xml:space="preserve">SYNTHÈSE DE L'ÉCHANTILLON &amp; DÉTECTION DE PATTERNS</t>
  </si>
  <si>
    <t xml:space="preserve">Calculée automatiquement à partir de l'onglet Grille — ne pas modifier les formules.</t>
  </si>
  <si>
    <t xml:space="preserve">Indicateur</t>
  </si>
  <si>
    <t xml:space="preserve">Valeur</t>
  </si>
  <si>
    <t xml:space="preserve">Nombre de transactions échantillonnées</t>
  </si>
  <si>
    <t xml:space="preserve">Transactions conformes (statut = Conforme)</t>
  </si>
  <si>
    <t xml:space="preserve">Transactions à examiner</t>
  </si>
  <si>
    <t xml:space="preserve">Taux de conformité de l'échantillon</t>
  </si>
  <si>
    <t xml:space="preserve">Seuil d'autorisation retenu pour la détection ($)</t>
  </si>
  <si>
    <t xml:space="preserve">PATTERNS FOURNISSEUR / MOIS — occurrences sous le seuil d'autorisation</t>
  </si>
  <si>
    <t xml:space="preserve">Mois (aaaa-mm)</t>
  </si>
  <si>
    <t xml:space="preserve">Nb transactions &lt; seuil</t>
  </si>
  <si>
    <t xml:space="preserve">Montant total agrégé ($)</t>
  </si>
  <si>
    <t xml:space="preserve">Alerte fractionnement</t>
  </si>
  <si>
    <t xml:space="preserve">2026-03</t>
  </si>
  <si>
    <t xml:space="preserve">2026-04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</si>
</sst>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.00"/>
    <numFmt numFmtId="167" formatCode="0\ 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E3A8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047857"/>
        <bgColor rgb="FF008080"/>
      </patternFill>
    </fill>
    <fill>
      <patternFill patternType="solid">
        <fgColor rgb="FFECFDF5"/>
        <bgColor rgb="FFFFFFFF"/>
      </patternFill>
    </fill>
    <fill>
      <patternFill patternType="solid">
        <fgColor rgb="FFFEF3C7"/>
        <bgColor rgb="FFFE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047857"/>
      </font>
      <fill>
        <patternFill>
          <bgColor rgb="FFECFDF5"/>
        </patternFill>
      </fill>
    </dxf>
    <dxf>
      <font>
        <b val="1"/>
        <color rgb="FFB91C1C"/>
      </font>
      <fill>
        <patternFill>
          <bgColor rgb="FFFEF2F2"/>
        </patternFill>
      </fill>
    </dxf>
    <dxf>
      <font>
        <color rgb="FF047857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FEF3C7"/>
      <rgbColor rgb="FFECF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E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B91C1C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2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20"/>
    <col collapsed="false" customWidth="true" hidden="false" outlineLevel="0" max="12" min="12" style="0" width="18"/>
    <col collapsed="false" customWidth="true" hidden="false" outlineLevel="0" max="13" min="13" style="0" width="1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15" hidden="false" customHeight="false" outlineLevel="0" collapsed="false">
      <c r="A5" s="4" t="s">
        <v>15</v>
      </c>
      <c r="B5" s="5" t="n">
        <v>46085</v>
      </c>
      <c r="C5" s="4" t="str">
        <f aca="false">IF(B5="","",YEAR(B5)&amp;"-"&amp;TEXT(MONTH(B5),"00"))</f>
        <v>2026-03</v>
      </c>
      <c r="D5" s="4" t="s">
        <v>16</v>
      </c>
      <c r="E5" s="6" t="n">
        <v>340</v>
      </c>
      <c r="F5" s="4" t="s">
        <v>17</v>
      </c>
      <c r="G5" s="4" t="s">
        <v>18</v>
      </c>
      <c r="H5" s="4" t="s">
        <v>18</v>
      </c>
      <c r="I5" s="4" t="s">
        <v>18</v>
      </c>
      <c r="J5" s="7" t="n">
        <f aca="false">IF(COUNTA(G5:I5)=0,"",COUNTIF(G5:I5,"O")/3)</f>
        <v>1</v>
      </c>
      <c r="K5" s="4" t="s">
        <v>19</v>
      </c>
      <c r="L5" s="4" t="s">
        <v>18</v>
      </c>
      <c r="M5" s="4" t="str">
        <f aca="false">IF(OR(D5="",E5=""),"",IF(AND(J5=1,K5="Légitime",L5="O"),"Conforme","À examiner"))</f>
        <v>Conforme</v>
      </c>
    </row>
    <row r="6" customFormat="false" ht="15" hidden="false" customHeight="false" outlineLevel="0" collapsed="false">
      <c r="A6" s="8" t="s">
        <v>20</v>
      </c>
      <c r="B6" s="9" t="n">
        <v>46092</v>
      </c>
      <c r="C6" s="8" t="str">
        <f aca="false">IF(B6="","",YEAR(B6)&amp;"-"&amp;TEXT(MONTH(B6),"00"))</f>
        <v>2026-03</v>
      </c>
      <c r="D6" s="8" t="s">
        <v>21</v>
      </c>
      <c r="E6" s="10" t="n">
        <v>1250</v>
      </c>
      <c r="F6" s="8" t="s">
        <v>22</v>
      </c>
      <c r="G6" s="8" t="s">
        <v>18</v>
      </c>
      <c r="H6" s="8" t="s">
        <v>18</v>
      </c>
      <c r="I6" s="8" t="s">
        <v>23</v>
      </c>
      <c r="J6" s="11" t="n">
        <f aca="false">IF(COUNTA(G6:I6)=0,"",COUNTIF(G6:I6,"O")/3)</f>
        <v>0.666666666666667</v>
      </c>
      <c r="K6" s="8" t="s">
        <v>24</v>
      </c>
      <c r="L6" s="8" t="s">
        <v>18</v>
      </c>
      <c r="M6" s="8" t="str">
        <f aca="false">IF(OR(D6="",E6=""),"",IF(AND(J6=1,K6="Légitime",L6="O"),"Conforme","À examiner"))</f>
        <v>À examiner</v>
      </c>
    </row>
    <row r="7" customFormat="false" ht="15" hidden="false" customHeight="false" outlineLevel="0" collapsed="false">
      <c r="A7" s="4" t="s">
        <v>25</v>
      </c>
      <c r="B7" s="5" t="n">
        <v>46100</v>
      </c>
      <c r="C7" s="4" t="str">
        <f aca="false">IF(B7="","",YEAR(B7)&amp;"-"&amp;TEXT(MONTH(B7),"00"))</f>
        <v>2026-03</v>
      </c>
      <c r="D7" s="4" t="s">
        <v>26</v>
      </c>
      <c r="E7" s="6" t="n">
        <v>480</v>
      </c>
      <c r="F7" s="4" t="s">
        <v>27</v>
      </c>
      <c r="G7" s="4" t="s">
        <v>23</v>
      </c>
      <c r="H7" s="4" t="s">
        <v>18</v>
      </c>
      <c r="I7" s="4" t="s">
        <v>18</v>
      </c>
      <c r="J7" s="7" t="n">
        <f aca="false">IF(COUNTA(G7:I7)=0,"",COUNTIF(G7:I7,"O")/3)</f>
        <v>0.666666666666667</v>
      </c>
      <c r="K7" s="4" t="s">
        <v>24</v>
      </c>
      <c r="L7" s="4" t="s">
        <v>18</v>
      </c>
      <c r="M7" s="4" t="str">
        <f aca="false">IF(OR(D7="",E7=""),"",IF(AND(J7=1,K7="Légitime",L7="O"),"Conforme","À examiner"))</f>
        <v>À examiner</v>
      </c>
    </row>
    <row r="8" customFormat="false" ht="15" hidden="false" customHeight="false" outlineLevel="0" collapsed="false">
      <c r="A8" s="12"/>
      <c r="B8" s="12"/>
      <c r="C8" s="8" t="str">
        <f aca="false">IF(B8="","",YEAR(B8)&amp;"-"&amp;TEXT(MONTH(B8),"00"))</f>
        <v/>
      </c>
      <c r="D8" s="12"/>
      <c r="E8" s="13"/>
      <c r="F8" s="12"/>
      <c r="G8" s="12"/>
      <c r="H8" s="12"/>
      <c r="I8" s="12"/>
      <c r="J8" s="11" t="str">
        <f aca="false">IF(COUNTA(G8:I8)=0,"",COUNTIF(G8:I8,"O")/3)</f>
        <v/>
      </c>
      <c r="K8" s="12"/>
      <c r="L8" s="12"/>
      <c r="M8" s="8" t="str">
        <f aca="false">IF(OR(D8="",E8=""),"",IF(AND(J8=1,K8="Légitime",L8="O"),"Conforme","À examiner"))</f>
        <v/>
      </c>
    </row>
    <row r="9" customFormat="false" ht="15" hidden="false" customHeight="false" outlineLevel="0" collapsed="false">
      <c r="C9" s="4" t="str">
        <f aca="false">IF(B9="","",YEAR(B9)&amp;"-"&amp;TEXT(MONTH(B9),"00"))</f>
        <v/>
      </c>
      <c r="E9" s="14"/>
      <c r="J9" s="7" t="str">
        <f aca="false">IF(COUNTA(G9:I9)=0,"",COUNTIF(G9:I9,"O")/3)</f>
        <v/>
      </c>
      <c r="M9" s="4" t="str">
        <f aca="false">IF(OR(D9="",E9=""),"",IF(AND(J9=1,K9="Légitime",L9="O"),"Conforme","À examiner"))</f>
        <v/>
      </c>
    </row>
    <row r="10" customFormat="false" ht="15" hidden="false" customHeight="false" outlineLevel="0" collapsed="false">
      <c r="A10" s="12"/>
      <c r="B10" s="12"/>
      <c r="C10" s="8" t="str">
        <f aca="false">IF(B10="","",YEAR(B10)&amp;"-"&amp;TEXT(MONTH(B10),"00"))</f>
        <v/>
      </c>
      <c r="D10" s="12"/>
      <c r="E10" s="13"/>
      <c r="F10" s="12"/>
      <c r="G10" s="12"/>
      <c r="H10" s="12"/>
      <c r="I10" s="12"/>
      <c r="J10" s="11" t="str">
        <f aca="false">IF(COUNTA(G10:I10)=0,"",COUNTIF(G10:I10,"O")/3)</f>
        <v/>
      </c>
      <c r="K10" s="12"/>
      <c r="L10" s="12"/>
      <c r="M10" s="8" t="str">
        <f aca="false">IF(OR(D10="",E10=""),"",IF(AND(J10=1,K10="Légitime",L10="O"),"Conforme","À examiner"))</f>
        <v/>
      </c>
    </row>
    <row r="11" customFormat="false" ht="15" hidden="false" customHeight="false" outlineLevel="0" collapsed="false">
      <c r="C11" s="4" t="str">
        <f aca="false">IF(B11="","",YEAR(B11)&amp;"-"&amp;TEXT(MONTH(B11),"00"))</f>
        <v/>
      </c>
      <c r="E11" s="14"/>
      <c r="J11" s="7" t="str">
        <f aca="false">IF(COUNTA(G11:I11)=0,"",COUNTIF(G11:I11,"O")/3)</f>
        <v/>
      </c>
      <c r="M11" s="4" t="str">
        <f aca="false">IF(OR(D11="",E11=""),"",IF(AND(J11=1,K11="Légitime",L11="O"),"Conforme","À examiner"))</f>
        <v/>
      </c>
    </row>
    <row r="12" customFormat="false" ht="15" hidden="false" customHeight="false" outlineLevel="0" collapsed="false">
      <c r="A12" s="12"/>
      <c r="B12" s="12"/>
      <c r="C12" s="8" t="str">
        <f aca="false">IF(B12="","",YEAR(B12)&amp;"-"&amp;TEXT(MONTH(B12),"00"))</f>
        <v/>
      </c>
      <c r="D12" s="12"/>
      <c r="E12" s="13"/>
      <c r="F12" s="12"/>
      <c r="G12" s="12"/>
      <c r="H12" s="12"/>
      <c r="I12" s="12"/>
      <c r="J12" s="11" t="str">
        <f aca="false">IF(COUNTA(G12:I12)=0,"",COUNTIF(G12:I12,"O")/3)</f>
        <v/>
      </c>
      <c r="K12" s="12"/>
      <c r="L12" s="12"/>
      <c r="M12" s="8" t="str">
        <f aca="false">IF(OR(D12="",E12=""),"",IF(AND(J12=1,K12="Légitime",L12="O"),"Conforme","À examiner"))</f>
        <v/>
      </c>
    </row>
    <row r="13" customFormat="false" ht="15" hidden="false" customHeight="false" outlineLevel="0" collapsed="false">
      <c r="C13" s="4" t="str">
        <f aca="false">IF(B13="","",YEAR(B13)&amp;"-"&amp;TEXT(MONTH(B13),"00"))</f>
        <v/>
      </c>
      <c r="E13" s="14"/>
      <c r="J13" s="7" t="str">
        <f aca="false">IF(COUNTA(G13:I13)=0,"",COUNTIF(G13:I13,"O")/3)</f>
        <v/>
      </c>
      <c r="M13" s="4" t="str">
        <f aca="false">IF(OR(D13="",E13=""),"",IF(AND(J13=1,K13="Légitime",L13="O"),"Conforme","À examiner"))</f>
        <v/>
      </c>
    </row>
    <row r="14" customFormat="false" ht="15" hidden="false" customHeight="false" outlineLevel="0" collapsed="false">
      <c r="A14" s="12"/>
      <c r="B14" s="12"/>
      <c r="C14" s="8" t="str">
        <f aca="false">IF(B14="","",YEAR(B14)&amp;"-"&amp;TEXT(MONTH(B14),"00"))</f>
        <v/>
      </c>
      <c r="D14" s="12"/>
      <c r="E14" s="13"/>
      <c r="F14" s="12"/>
      <c r="G14" s="12"/>
      <c r="H14" s="12"/>
      <c r="I14" s="12"/>
      <c r="J14" s="11" t="str">
        <f aca="false">IF(COUNTA(G14:I14)=0,"",COUNTIF(G14:I14,"O")/3)</f>
        <v/>
      </c>
      <c r="K14" s="12"/>
      <c r="L14" s="12"/>
      <c r="M14" s="8" t="str">
        <f aca="false">IF(OR(D14="",E14=""),"",IF(AND(J14=1,K14="Légitime",L14="O"),"Conforme","À examiner"))</f>
        <v/>
      </c>
    </row>
    <row r="15" customFormat="false" ht="15" hidden="false" customHeight="false" outlineLevel="0" collapsed="false">
      <c r="C15" s="4" t="str">
        <f aca="false">IF(B15="","",YEAR(B15)&amp;"-"&amp;TEXT(MONTH(B15),"00"))</f>
        <v/>
      </c>
      <c r="E15" s="14"/>
      <c r="J15" s="7" t="str">
        <f aca="false">IF(COUNTA(G15:I15)=0,"",COUNTIF(G15:I15,"O")/3)</f>
        <v/>
      </c>
      <c r="M15" s="4" t="str">
        <f aca="false">IF(OR(D15="",E15=""),"",IF(AND(J15=1,K15="Légitime",L15="O"),"Conforme","À examiner"))</f>
        <v/>
      </c>
    </row>
    <row r="16" customFormat="false" ht="15" hidden="false" customHeight="false" outlineLevel="0" collapsed="false">
      <c r="A16" s="12"/>
      <c r="B16" s="12"/>
      <c r="C16" s="8" t="str">
        <f aca="false">IF(B16="","",YEAR(B16)&amp;"-"&amp;TEXT(MONTH(B16),"00"))</f>
        <v/>
      </c>
      <c r="D16" s="12"/>
      <c r="E16" s="13"/>
      <c r="F16" s="12"/>
      <c r="G16" s="12"/>
      <c r="H16" s="12"/>
      <c r="I16" s="12"/>
      <c r="J16" s="11" t="str">
        <f aca="false">IF(COUNTA(G16:I16)=0,"",COUNTIF(G16:I16,"O")/3)</f>
        <v/>
      </c>
      <c r="K16" s="12"/>
      <c r="L16" s="12"/>
      <c r="M16" s="8" t="str">
        <f aca="false">IF(OR(D16="",E16=""),"",IF(AND(J16=1,K16="Légitime",L16="O"),"Conforme","À examiner"))</f>
        <v/>
      </c>
    </row>
    <row r="17" customFormat="false" ht="15" hidden="false" customHeight="false" outlineLevel="0" collapsed="false">
      <c r="C17" s="4" t="str">
        <f aca="false">IF(B17="","",YEAR(B17)&amp;"-"&amp;TEXT(MONTH(B17),"00"))</f>
        <v/>
      </c>
      <c r="E17" s="14"/>
      <c r="J17" s="7" t="str">
        <f aca="false">IF(COUNTA(G17:I17)=0,"",COUNTIF(G17:I17,"O")/3)</f>
        <v/>
      </c>
      <c r="M17" s="4" t="str">
        <f aca="false">IF(OR(D17="",E17=""),"",IF(AND(J17=1,K17="Légitime",L17="O"),"Conforme","À examiner"))</f>
        <v/>
      </c>
    </row>
    <row r="18" customFormat="false" ht="15" hidden="false" customHeight="false" outlineLevel="0" collapsed="false">
      <c r="A18" s="12"/>
      <c r="B18" s="12"/>
      <c r="C18" s="8" t="str">
        <f aca="false">IF(B18="","",YEAR(B18)&amp;"-"&amp;TEXT(MONTH(B18),"00"))</f>
        <v/>
      </c>
      <c r="D18" s="12"/>
      <c r="E18" s="13"/>
      <c r="F18" s="12"/>
      <c r="G18" s="12"/>
      <c r="H18" s="12"/>
      <c r="I18" s="12"/>
      <c r="J18" s="11" t="str">
        <f aca="false">IF(COUNTA(G18:I18)=0,"",COUNTIF(G18:I18,"O")/3)</f>
        <v/>
      </c>
      <c r="K18" s="12"/>
      <c r="L18" s="12"/>
      <c r="M18" s="8" t="str">
        <f aca="false">IF(OR(D18="",E18=""),"",IF(AND(J18=1,K18="Légitime",L18="O"),"Conforme","À examiner"))</f>
        <v/>
      </c>
    </row>
    <row r="19" customFormat="false" ht="15" hidden="false" customHeight="false" outlineLevel="0" collapsed="false">
      <c r="C19" s="4" t="str">
        <f aca="false">IF(B19="","",YEAR(B19)&amp;"-"&amp;TEXT(MONTH(B19),"00"))</f>
        <v/>
      </c>
      <c r="E19" s="14"/>
      <c r="J19" s="7" t="str">
        <f aca="false">IF(COUNTA(G19:I19)=0,"",COUNTIF(G19:I19,"O")/3)</f>
        <v/>
      </c>
      <c r="M19" s="4" t="str">
        <f aca="false">IF(OR(D19="",E19=""),"",IF(AND(J19=1,K19="Légitime",L19="O"),"Conforme","À examiner"))</f>
        <v/>
      </c>
    </row>
    <row r="20" customFormat="false" ht="15" hidden="false" customHeight="false" outlineLevel="0" collapsed="false">
      <c r="A20" s="12"/>
      <c r="B20" s="12"/>
      <c r="C20" s="8" t="str">
        <f aca="false">IF(B20="","",YEAR(B20)&amp;"-"&amp;TEXT(MONTH(B20),"00"))</f>
        <v/>
      </c>
      <c r="D20" s="12"/>
      <c r="E20" s="13"/>
      <c r="F20" s="12"/>
      <c r="G20" s="12"/>
      <c r="H20" s="12"/>
      <c r="I20" s="12"/>
      <c r="J20" s="11" t="str">
        <f aca="false">IF(COUNTA(G20:I20)=0,"",COUNTIF(G20:I20,"O")/3)</f>
        <v/>
      </c>
      <c r="K20" s="12"/>
      <c r="L20" s="12"/>
      <c r="M20" s="8" t="str">
        <f aca="false">IF(OR(D20="",E20=""),"",IF(AND(J20=1,K20="Légitime",L20="O"),"Conforme","À examiner"))</f>
        <v/>
      </c>
    </row>
    <row r="21" customFormat="false" ht="15" hidden="false" customHeight="false" outlineLevel="0" collapsed="false">
      <c r="C21" s="4" t="str">
        <f aca="false">IF(B21="","",YEAR(B21)&amp;"-"&amp;TEXT(MONTH(B21),"00"))</f>
        <v/>
      </c>
      <c r="E21" s="14"/>
      <c r="J21" s="7" t="str">
        <f aca="false">IF(COUNTA(G21:I21)=0,"",COUNTIF(G21:I21,"O")/3)</f>
        <v/>
      </c>
      <c r="M21" s="4" t="str">
        <f aca="false">IF(OR(D21="",E21=""),"",IF(AND(J21=1,K21="Légitime",L21="O"),"Conforme","À examiner"))</f>
        <v/>
      </c>
    </row>
    <row r="22" customFormat="false" ht="15" hidden="false" customHeight="false" outlineLevel="0" collapsed="false">
      <c r="A22" s="12"/>
      <c r="B22" s="12"/>
      <c r="C22" s="8" t="str">
        <f aca="false">IF(B22="","",YEAR(B22)&amp;"-"&amp;TEXT(MONTH(B22),"00"))</f>
        <v/>
      </c>
      <c r="D22" s="12"/>
      <c r="E22" s="13"/>
      <c r="F22" s="12"/>
      <c r="G22" s="12"/>
      <c r="H22" s="12"/>
      <c r="I22" s="12"/>
      <c r="J22" s="11" t="str">
        <f aca="false">IF(COUNTA(G22:I22)=0,"",COUNTIF(G22:I22,"O")/3)</f>
        <v/>
      </c>
      <c r="K22" s="12"/>
      <c r="L22" s="12"/>
      <c r="M22" s="8" t="str">
        <f aca="false">IF(OR(D22="",E22=""),"",IF(AND(J22=1,K22="Légitime",L22="O"),"Conforme","À examiner"))</f>
        <v/>
      </c>
    </row>
    <row r="23" customFormat="false" ht="15" hidden="false" customHeight="false" outlineLevel="0" collapsed="false">
      <c r="C23" s="4" t="str">
        <f aca="false">IF(B23="","",YEAR(B23)&amp;"-"&amp;TEXT(MONTH(B23),"00"))</f>
        <v/>
      </c>
      <c r="E23" s="14"/>
      <c r="J23" s="7" t="str">
        <f aca="false">IF(COUNTA(G23:I23)=0,"",COUNTIF(G23:I23,"O")/3)</f>
        <v/>
      </c>
      <c r="M23" s="4" t="str">
        <f aca="false">IF(OR(D23="",E23=""),"",IF(AND(J23=1,K23="Légitime",L23="O"),"Conforme","À examiner"))</f>
        <v/>
      </c>
    </row>
    <row r="24" customFormat="false" ht="15" hidden="false" customHeight="false" outlineLevel="0" collapsed="false">
      <c r="A24" s="12"/>
      <c r="B24" s="12"/>
      <c r="C24" s="8" t="str">
        <f aca="false">IF(B24="","",YEAR(B24)&amp;"-"&amp;TEXT(MONTH(B24),"00"))</f>
        <v/>
      </c>
      <c r="D24" s="12"/>
      <c r="E24" s="13"/>
      <c r="F24" s="12"/>
      <c r="G24" s="12"/>
      <c r="H24" s="12"/>
      <c r="I24" s="12"/>
      <c r="J24" s="11" t="str">
        <f aca="false">IF(COUNTA(G24:I24)=0,"",COUNTIF(G24:I24,"O")/3)</f>
        <v/>
      </c>
      <c r="K24" s="12"/>
      <c r="L24" s="12"/>
      <c r="M24" s="8" t="str">
        <f aca="false">IF(OR(D24="",E24=""),"",IF(AND(J24=1,K24="Légitime",L24="O"),"Conforme","À examiner"))</f>
        <v/>
      </c>
    </row>
    <row r="25" customFormat="false" ht="15" hidden="false" customHeight="false" outlineLevel="0" collapsed="false">
      <c r="C25" s="4" t="str">
        <f aca="false">IF(B25="","",YEAR(B25)&amp;"-"&amp;TEXT(MONTH(B25),"00"))</f>
        <v/>
      </c>
      <c r="E25" s="14"/>
      <c r="J25" s="7" t="str">
        <f aca="false">IF(COUNTA(G25:I25)=0,"",COUNTIF(G25:I25,"O")/3)</f>
        <v/>
      </c>
      <c r="M25" s="4" t="str">
        <f aca="false">IF(OR(D25="",E25=""),"",IF(AND(J25=1,K25="Légitime",L25="O"),"Conforme","À examiner"))</f>
        <v/>
      </c>
    </row>
    <row r="26" customFormat="false" ht="15" hidden="false" customHeight="false" outlineLevel="0" collapsed="false">
      <c r="A26" s="12"/>
      <c r="B26" s="12"/>
      <c r="C26" s="8" t="str">
        <f aca="false">IF(B26="","",YEAR(B26)&amp;"-"&amp;TEXT(MONTH(B26),"00"))</f>
        <v/>
      </c>
      <c r="D26" s="12"/>
      <c r="E26" s="13"/>
      <c r="F26" s="12"/>
      <c r="G26" s="12"/>
      <c r="H26" s="12"/>
      <c r="I26" s="12"/>
      <c r="J26" s="11" t="str">
        <f aca="false">IF(COUNTA(G26:I26)=0,"",COUNTIF(G26:I26,"O")/3)</f>
        <v/>
      </c>
      <c r="K26" s="12"/>
      <c r="L26" s="12"/>
      <c r="M26" s="8" t="str">
        <f aca="false">IF(OR(D26="",E26=""),"",IF(AND(J26=1,K26="Légitime",L26="O"),"Conforme","À examiner"))</f>
        <v/>
      </c>
    </row>
    <row r="27" customFormat="false" ht="15" hidden="false" customHeight="false" outlineLevel="0" collapsed="false">
      <c r="C27" s="4" t="str">
        <f aca="false">IF(B27="","",YEAR(B27)&amp;"-"&amp;TEXT(MONTH(B27),"00"))</f>
        <v/>
      </c>
      <c r="E27" s="14"/>
      <c r="J27" s="7" t="str">
        <f aca="false">IF(COUNTA(G27:I27)=0,"",COUNTIF(G27:I27,"O")/3)</f>
        <v/>
      </c>
      <c r="M27" s="4" t="str">
        <f aca="false">IF(OR(D27="",E27=""),"",IF(AND(J27=1,K27="Légitime",L27="O"),"Conforme","À examiner"))</f>
        <v/>
      </c>
    </row>
    <row r="28" customFormat="false" ht="15" hidden="false" customHeight="false" outlineLevel="0" collapsed="false">
      <c r="A28" s="12"/>
      <c r="B28" s="12"/>
      <c r="C28" s="8" t="str">
        <f aca="false">IF(B28="","",YEAR(B28)&amp;"-"&amp;TEXT(MONTH(B28),"00"))</f>
        <v/>
      </c>
      <c r="D28" s="12"/>
      <c r="E28" s="13"/>
      <c r="F28" s="12"/>
      <c r="G28" s="12"/>
      <c r="H28" s="12"/>
      <c r="I28" s="12"/>
      <c r="J28" s="11" t="str">
        <f aca="false">IF(COUNTA(G28:I28)=0,"",COUNTIF(G28:I28,"O")/3)</f>
        <v/>
      </c>
      <c r="K28" s="12"/>
      <c r="L28" s="12"/>
      <c r="M28" s="8" t="str">
        <f aca="false">IF(OR(D28="",E28=""),"",IF(AND(J28=1,K28="Légitime",L28="O"),"Conforme","À examiner"))</f>
        <v/>
      </c>
    </row>
    <row r="29" customFormat="false" ht="15" hidden="false" customHeight="false" outlineLevel="0" collapsed="false">
      <c r="C29" s="4" t="str">
        <f aca="false">IF(B29="","",YEAR(B29)&amp;"-"&amp;TEXT(MONTH(B29),"00"))</f>
        <v/>
      </c>
      <c r="E29" s="14"/>
      <c r="J29" s="7" t="str">
        <f aca="false">IF(COUNTA(G29:I29)=0,"",COUNTIF(G29:I29,"O")/3)</f>
        <v/>
      </c>
      <c r="M29" s="4" t="str">
        <f aca="false">IF(OR(D29="",E29=""),"",IF(AND(J29=1,K29="Légitime",L29="O"),"Conforme","À examiner"))</f>
        <v/>
      </c>
    </row>
    <row r="30" customFormat="false" ht="15" hidden="false" customHeight="false" outlineLevel="0" collapsed="false">
      <c r="A30" s="12"/>
      <c r="B30" s="12"/>
      <c r="C30" s="8" t="str">
        <f aca="false">IF(B30="","",YEAR(B30)&amp;"-"&amp;TEXT(MONTH(B30),"00"))</f>
        <v/>
      </c>
      <c r="D30" s="12"/>
      <c r="E30" s="13"/>
      <c r="F30" s="12"/>
      <c r="G30" s="12"/>
      <c r="H30" s="12"/>
      <c r="I30" s="12"/>
      <c r="J30" s="11" t="str">
        <f aca="false">IF(COUNTA(G30:I30)=0,"",COUNTIF(G30:I30,"O")/3)</f>
        <v/>
      </c>
      <c r="K30" s="12"/>
      <c r="L30" s="12"/>
      <c r="M30" s="8" t="str">
        <f aca="false">IF(OR(D30="",E30=""),"",IF(AND(J30=1,K30="Légitime",L30="O"),"Conforme","À examiner"))</f>
        <v/>
      </c>
    </row>
    <row r="31" customFormat="false" ht="15" hidden="false" customHeight="false" outlineLevel="0" collapsed="false">
      <c r="C31" s="4" t="str">
        <f aca="false">IF(B31="","",YEAR(B31)&amp;"-"&amp;TEXT(MONTH(B31),"00"))</f>
        <v/>
      </c>
      <c r="E31" s="14"/>
      <c r="J31" s="7" t="str">
        <f aca="false">IF(COUNTA(G31:I31)=0,"",COUNTIF(G31:I31,"O")/3)</f>
        <v/>
      </c>
      <c r="M31" s="4" t="str">
        <f aca="false">IF(OR(D31="",E31=""),"",IF(AND(J31=1,K31="Légitime",L31="O"),"Conforme","À examiner"))</f>
        <v/>
      </c>
    </row>
    <row r="32" customFormat="false" ht="15" hidden="false" customHeight="false" outlineLevel="0" collapsed="false">
      <c r="A32" s="12"/>
      <c r="B32" s="12"/>
      <c r="C32" s="8" t="str">
        <f aca="false">IF(B32="","",YEAR(B32)&amp;"-"&amp;TEXT(MONTH(B32),"00"))</f>
        <v/>
      </c>
      <c r="D32" s="12"/>
      <c r="E32" s="13"/>
      <c r="F32" s="12"/>
      <c r="G32" s="12"/>
      <c r="H32" s="12"/>
      <c r="I32" s="12"/>
      <c r="J32" s="11" t="str">
        <f aca="false">IF(COUNTA(G32:I32)=0,"",COUNTIF(G32:I32,"O")/3)</f>
        <v/>
      </c>
      <c r="K32" s="12"/>
      <c r="L32" s="12"/>
      <c r="M32" s="8" t="str">
        <f aca="false">IF(OR(D32="",E32=""),"",IF(AND(J32=1,K32="Légitime",L32="O"),"Conforme","À examiner"))</f>
        <v/>
      </c>
    </row>
    <row r="33" customFormat="false" ht="15" hidden="false" customHeight="false" outlineLevel="0" collapsed="false">
      <c r="C33" s="4" t="str">
        <f aca="false">IF(B33="","",YEAR(B33)&amp;"-"&amp;TEXT(MONTH(B33),"00"))</f>
        <v/>
      </c>
      <c r="E33" s="14"/>
      <c r="J33" s="7" t="str">
        <f aca="false">IF(COUNTA(G33:I33)=0,"",COUNTIF(G33:I33,"O")/3)</f>
        <v/>
      </c>
      <c r="M33" s="4" t="str">
        <f aca="false">IF(OR(D33="",E33=""),"",IF(AND(J33=1,K33="Légitime",L33="O"),"Conforme","À examiner"))</f>
        <v/>
      </c>
    </row>
    <row r="34" customFormat="false" ht="15" hidden="false" customHeight="false" outlineLevel="0" collapsed="false">
      <c r="A34" s="12"/>
      <c r="B34" s="12"/>
      <c r="C34" s="8" t="str">
        <f aca="false">IF(B34="","",YEAR(B34)&amp;"-"&amp;TEXT(MONTH(B34),"00"))</f>
        <v/>
      </c>
      <c r="D34" s="12"/>
      <c r="E34" s="13"/>
      <c r="F34" s="12"/>
      <c r="G34" s="12"/>
      <c r="H34" s="12"/>
      <c r="I34" s="12"/>
      <c r="J34" s="11" t="str">
        <f aca="false">IF(COUNTA(G34:I34)=0,"",COUNTIF(G34:I34,"O")/3)</f>
        <v/>
      </c>
      <c r="K34" s="12"/>
      <c r="L34" s="12"/>
      <c r="M34" s="8" t="str">
        <f aca="false">IF(OR(D34="",E34=""),"",IF(AND(J34=1,K34="Légitime",L34="O"),"Conforme","À examiner"))</f>
        <v/>
      </c>
    </row>
    <row r="35" customFormat="false" ht="15" hidden="false" customHeight="false" outlineLevel="0" collapsed="false">
      <c r="C35" s="4" t="str">
        <f aca="false">IF(B35="","",YEAR(B35)&amp;"-"&amp;TEXT(MONTH(B35),"00"))</f>
        <v/>
      </c>
      <c r="E35" s="14"/>
      <c r="J35" s="7" t="str">
        <f aca="false">IF(COUNTA(G35:I35)=0,"",COUNTIF(G35:I35,"O")/3)</f>
        <v/>
      </c>
      <c r="M35" s="4" t="str">
        <f aca="false">IF(OR(D35="",E35=""),"",IF(AND(J35=1,K35="Légitime",L35="O"),"Conforme","À examiner"))</f>
        <v/>
      </c>
    </row>
    <row r="36" customFormat="false" ht="15" hidden="false" customHeight="false" outlineLevel="0" collapsed="false">
      <c r="A36" s="12"/>
      <c r="B36" s="12"/>
      <c r="C36" s="8" t="str">
        <f aca="false">IF(B36="","",YEAR(B36)&amp;"-"&amp;TEXT(MONTH(B36),"00"))</f>
        <v/>
      </c>
      <c r="D36" s="12"/>
      <c r="E36" s="13"/>
      <c r="F36" s="12"/>
      <c r="G36" s="12"/>
      <c r="H36" s="12"/>
      <c r="I36" s="12"/>
      <c r="J36" s="11" t="str">
        <f aca="false">IF(COUNTA(G36:I36)=0,"",COUNTIF(G36:I36,"O")/3)</f>
        <v/>
      </c>
      <c r="K36" s="12"/>
      <c r="L36" s="12"/>
      <c r="M36" s="8" t="str">
        <f aca="false">IF(OR(D36="",E36=""),"",IF(AND(J36=1,K36="Légitime",L36="O"),"Conforme","À examiner"))</f>
        <v/>
      </c>
    </row>
    <row r="37" customFormat="false" ht="15" hidden="false" customHeight="false" outlineLevel="0" collapsed="false">
      <c r="C37" s="4" t="str">
        <f aca="false">IF(B37="","",YEAR(B37)&amp;"-"&amp;TEXT(MONTH(B37),"00"))</f>
        <v/>
      </c>
      <c r="E37" s="14"/>
      <c r="J37" s="7" t="str">
        <f aca="false">IF(COUNTA(G37:I37)=0,"",COUNTIF(G37:I37,"O")/3)</f>
        <v/>
      </c>
      <c r="M37" s="4" t="str">
        <f aca="false">IF(OR(D37="",E37=""),"",IF(AND(J37=1,K37="Légitime",L37="O"),"Conforme","À examiner"))</f>
        <v/>
      </c>
    </row>
    <row r="38" customFormat="false" ht="15" hidden="false" customHeight="false" outlineLevel="0" collapsed="false">
      <c r="A38" s="12"/>
      <c r="B38" s="12"/>
      <c r="C38" s="8" t="str">
        <f aca="false">IF(B38="","",YEAR(B38)&amp;"-"&amp;TEXT(MONTH(B38),"00"))</f>
        <v/>
      </c>
      <c r="D38" s="12"/>
      <c r="E38" s="13"/>
      <c r="F38" s="12"/>
      <c r="G38" s="12"/>
      <c r="H38" s="12"/>
      <c r="I38" s="12"/>
      <c r="J38" s="11" t="str">
        <f aca="false">IF(COUNTA(G38:I38)=0,"",COUNTIF(G38:I38,"O")/3)</f>
        <v/>
      </c>
      <c r="K38" s="12"/>
      <c r="L38" s="12"/>
      <c r="M38" s="8" t="str">
        <f aca="false">IF(OR(D38="",E38=""),"",IF(AND(J38=1,K38="Légitime",L38="O"),"Conforme","À examiner"))</f>
        <v/>
      </c>
    </row>
    <row r="39" customFormat="false" ht="15" hidden="false" customHeight="false" outlineLevel="0" collapsed="false">
      <c r="C39" s="4" t="str">
        <f aca="false">IF(B39="","",YEAR(B39)&amp;"-"&amp;TEXT(MONTH(B39),"00"))</f>
        <v/>
      </c>
      <c r="E39" s="14"/>
      <c r="J39" s="7" t="str">
        <f aca="false">IF(COUNTA(G39:I39)=0,"",COUNTIF(G39:I39,"O")/3)</f>
        <v/>
      </c>
      <c r="M39" s="4" t="str">
        <f aca="false">IF(OR(D39="",E39=""),"",IF(AND(J39=1,K39="Légitime",L39="O"),"Conforme","À examiner"))</f>
        <v/>
      </c>
    </row>
    <row r="40" customFormat="false" ht="15" hidden="false" customHeight="false" outlineLevel="0" collapsed="false">
      <c r="A40" s="12"/>
      <c r="B40" s="12"/>
      <c r="C40" s="8" t="str">
        <f aca="false">IF(B40="","",YEAR(B40)&amp;"-"&amp;TEXT(MONTH(B40),"00"))</f>
        <v/>
      </c>
      <c r="D40" s="12"/>
      <c r="E40" s="13"/>
      <c r="F40" s="12"/>
      <c r="G40" s="12"/>
      <c r="H40" s="12"/>
      <c r="I40" s="12"/>
      <c r="J40" s="11" t="str">
        <f aca="false">IF(COUNTA(G40:I40)=0,"",COUNTIF(G40:I40,"O")/3)</f>
        <v/>
      </c>
      <c r="K40" s="12"/>
      <c r="L40" s="12"/>
      <c r="M40" s="8" t="str">
        <f aca="false">IF(OR(D40="",E40=""),"",IF(AND(J40=1,K40="Légitime",L40="O"),"Conforme","À examiner"))</f>
        <v/>
      </c>
    </row>
  </sheetData>
  <mergeCells count="2">
    <mergeCell ref="A1:M1"/>
    <mergeCell ref="A2:M2"/>
  </mergeCells>
  <conditionalFormatting sqref="M5:M40">
    <cfRule type="expression" priority="2" aboveAverage="0" equalAverage="0" bottom="0" percent="0" rank="0" text="" dxfId="0">
      <formula>M5="Conforme"</formula>
    </cfRule>
    <cfRule type="expression" priority="3" aboveAverage="0" equalAverage="0" bottom="0" percent="0" rank="0" text="" dxfId="1">
      <formula>M5="À examiner"</formula>
    </cfRule>
  </conditionalFormatting>
  <dataValidations count="2">
    <dataValidation allowBlank="true" errorStyle="stop" operator="between" showDropDown="false" showErrorMessage="false" showInputMessage="false" sqref="G5:I40 L5:L40" type="list">
      <formula1>"O,N"</formula1>
      <formula2>0</formula2>
    </dataValidation>
    <dataValidation allowBlank="true" errorStyle="stop" operator="between" showDropDown="false" showErrorMessage="false" showInputMessage="false" sqref="K5:K40" type="list">
      <formula1>"Légitime,À approfondir,Non légitime"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5" min="3" style="0" width="22"/>
  </cols>
  <sheetData>
    <row r="1" customFormat="false" ht="21.75" hidden="false" customHeight="true" outlineLevel="0" collapsed="false">
      <c r="A1" s="15" t="s">
        <v>28</v>
      </c>
      <c r="B1" s="15"/>
      <c r="C1" s="15"/>
      <c r="D1" s="15"/>
      <c r="E1" s="15"/>
    </row>
    <row r="2" customFormat="false" ht="15" hidden="false" customHeight="false" outlineLevel="0" collapsed="false">
      <c r="A2" s="2" t="s">
        <v>29</v>
      </c>
      <c r="B2" s="2"/>
      <c r="C2" s="2"/>
      <c r="D2" s="2"/>
      <c r="E2" s="2"/>
    </row>
    <row r="4" customFormat="false" ht="15" hidden="false" customHeight="false" outlineLevel="0" collapsed="false">
      <c r="A4" s="16" t="s">
        <v>30</v>
      </c>
      <c r="B4" s="16" t="s">
        <v>31</v>
      </c>
    </row>
    <row r="5" customFormat="false" ht="15" hidden="false" customHeight="false" outlineLevel="0" collapsed="false">
      <c r="A5" s="4" t="s">
        <v>32</v>
      </c>
      <c r="B5" s="4" t="n">
        <f aca="false">COUNTA(Grille!A5:A40)</f>
        <v>3</v>
      </c>
    </row>
    <row r="6" customFormat="false" ht="15" hidden="false" customHeight="false" outlineLevel="0" collapsed="false">
      <c r="A6" s="4" t="s">
        <v>33</v>
      </c>
      <c r="B6" s="4" t="n">
        <f aca="false">COUNTIF(Grille!M5:M40,"Conforme")</f>
        <v>1</v>
      </c>
    </row>
    <row r="7" customFormat="false" ht="15" hidden="false" customHeight="false" outlineLevel="0" collapsed="false">
      <c r="A7" s="4" t="s">
        <v>34</v>
      </c>
      <c r="B7" s="4" t="n">
        <f aca="false">COUNTIF(Grille!M5:M40,"À examiner")</f>
        <v>2</v>
      </c>
    </row>
    <row r="8" customFormat="false" ht="15" hidden="false" customHeight="false" outlineLevel="0" collapsed="false">
      <c r="A8" s="4" t="s">
        <v>35</v>
      </c>
      <c r="B8" s="17" t="n">
        <f aca="false">IFERROR(B6/B5,0)</f>
        <v>0.333333333333333</v>
      </c>
    </row>
    <row r="11" customFormat="false" ht="15" hidden="false" customHeight="false" outlineLevel="0" collapsed="false">
      <c r="A11" s="18" t="s">
        <v>36</v>
      </c>
      <c r="B11" s="19" t="n">
        <v>500</v>
      </c>
    </row>
    <row r="13" customFormat="false" ht="15" hidden="false" customHeight="false" outlineLevel="0" collapsed="false">
      <c r="A13" s="20" t="s">
        <v>37</v>
      </c>
      <c r="B13" s="20"/>
      <c r="C13" s="20"/>
      <c r="D13" s="20"/>
      <c r="E13" s="20"/>
    </row>
    <row r="15" customFormat="false" ht="30" hidden="false" customHeight="true" outlineLevel="0" collapsed="false">
      <c r="A15" s="3" t="s">
        <v>5</v>
      </c>
      <c r="B15" s="3" t="s">
        <v>38</v>
      </c>
      <c r="C15" s="3" t="s">
        <v>39</v>
      </c>
      <c r="D15" s="3" t="s">
        <v>40</v>
      </c>
      <c r="E15" s="3" t="s">
        <v>41</v>
      </c>
    </row>
    <row r="16" customFormat="false" ht="15" hidden="false" customHeight="false" outlineLevel="0" collapsed="false">
      <c r="A16" s="8" t="s">
        <v>26</v>
      </c>
      <c r="B16" s="8" t="s">
        <v>42</v>
      </c>
      <c r="C16" s="8" t="n">
        <f aca="false">IF(A16="","",COUNTIFS(Grille!$D$5:$D$40,A16,Grille!$C$5:$C$40,B16,Grille!$E$5:$E$40,"&lt;"&amp;$B$11))</f>
        <v>1</v>
      </c>
      <c r="D16" s="10" t="n">
        <f aca="false">IF(A16="","",SUMIFS(Grille!$E$5:$E$40,Grille!$D$5:$D$40,A16,Grille!$C$5:$C$40,B16))</f>
        <v>480</v>
      </c>
      <c r="E16" s="8" t="str">
        <f aca="false">IF(A16="","",IF(C16&gt;=3,"A investiguer","OK"))</f>
        <v>OK</v>
      </c>
    </row>
    <row r="17" customFormat="false" ht="15" hidden="false" customHeight="false" outlineLevel="0" collapsed="false">
      <c r="A17" s="4" t="s">
        <v>26</v>
      </c>
      <c r="B17" s="4" t="s">
        <v>43</v>
      </c>
      <c r="C17" s="4" t="n">
        <f aca="false">IF(A17="","",COUNTIFS(Grille!$D$5:$D$40,A17,Grille!$C$5:$C$40,B17,Grille!$E$5:$E$40,"&lt;"&amp;$B$11))</f>
        <v>0</v>
      </c>
      <c r="D17" s="6" t="n">
        <f aca="false">IF(A17="","",SUMIFS(Grille!$E$5:$E$40,Grille!$D$5:$D$40,A17,Grille!$C$5:$C$40,B17))</f>
        <v>0</v>
      </c>
      <c r="E17" s="4" t="str">
        <f aca="false">IF(A17="","",IF(C17&gt;=3,"A investiguer","OK"))</f>
        <v>OK</v>
      </c>
    </row>
    <row r="18" customFormat="false" ht="15" hidden="false" customHeight="false" outlineLevel="0" collapsed="false">
      <c r="A18" s="8"/>
      <c r="B18" s="8"/>
      <c r="C18" s="8" t="str">
        <f aca="false">IF(A18="","",COUNTIFS(Grille!$D$5:$D$40,A18,Grille!$C$5:$C$40,B18,Grille!$E$5:$E$40,"&lt;"&amp;$B$11))</f>
        <v/>
      </c>
      <c r="D18" s="10" t="str">
        <f aca="false">IF(A18="","",SUMIFS(Grille!$E$5:$E$40,Grille!$D$5:$D$40,A18,Grille!$C$5:$C$40,B18))</f>
        <v/>
      </c>
      <c r="E18" s="8" t="str">
        <f aca="false">IF(A18="","",IF(C18&gt;=3,"A investiguer","OK"))</f>
        <v/>
      </c>
    </row>
    <row r="19" customFormat="false" ht="15" hidden="false" customHeight="false" outlineLevel="0" collapsed="false">
      <c r="A19" s="4"/>
      <c r="B19" s="4"/>
      <c r="C19" s="4" t="str">
        <f aca="false">IF(A19="","",COUNTIFS(Grille!$D$5:$D$40,A19,Grille!$C$5:$C$40,B19,Grille!$E$5:$E$40,"&lt;"&amp;$B$11))</f>
        <v/>
      </c>
      <c r="D19" s="6" t="str">
        <f aca="false">IF(A19="","",SUMIFS(Grille!$E$5:$E$40,Grille!$D$5:$D$40,A19,Grille!$C$5:$C$40,B19))</f>
        <v/>
      </c>
      <c r="E19" s="4" t="str">
        <f aca="false">IF(A19="","",IF(C19&gt;=3,"A investiguer","OK"))</f>
        <v/>
      </c>
    </row>
    <row r="20" customFormat="false" ht="15" hidden="false" customHeight="false" outlineLevel="0" collapsed="false">
      <c r="A20" s="8"/>
      <c r="B20" s="8"/>
      <c r="C20" s="8" t="str">
        <f aca="false">IF(A20="","",COUNTIFS(Grille!$D$5:$D$40,A20,Grille!$C$5:$C$40,B20,Grille!$E$5:$E$40,"&lt;"&amp;$B$11))</f>
        <v/>
      </c>
      <c r="D20" s="10" t="str">
        <f aca="false">IF(A20="","",SUMIFS(Grille!$E$5:$E$40,Grille!$D$5:$D$40,A20,Grille!$C$5:$C$40,B20))</f>
        <v/>
      </c>
      <c r="E20" s="8" t="str">
        <f aca="false">IF(A20="","",IF(C20&gt;=3,"A investiguer","OK"))</f>
        <v/>
      </c>
    </row>
    <row r="21" customFormat="false" ht="15" hidden="false" customHeight="false" outlineLevel="0" collapsed="false">
      <c r="A21" s="4"/>
      <c r="B21" s="4"/>
      <c r="C21" s="4" t="str">
        <f aca="false">IF(A21="","",COUNTIFS(Grille!$D$5:$D$40,A21,Grille!$C$5:$C$40,B21,Grille!$E$5:$E$40,"&lt;"&amp;$B$11))</f>
        <v/>
      </c>
      <c r="D21" s="6" t="str">
        <f aca="false">IF(A21="","",SUMIFS(Grille!$E$5:$E$40,Grille!$D$5:$D$40,A21,Grille!$C$5:$C$40,B21))</f>
        <v/>
      </c>
      <c r="E21" s="4" t="str">
        <f aca="false">IF(A21="","",IF(C21&gt;=3,"A investiguer","OK"))</f>
        <v/>
      </c>
    </row>
    <row r="22" customFormat="false" ht="15" hidden="false" customHeight="false" outlineLevel="0" collapsed="false">
      <c r="A22" s="8"/>
      <c r="B22" s="8"/>
      <c r="C22" s="8" t="str">
        <f aca="false">IF(A22="","",COUNTIFS(Grille!$D$5:$D$40,A22,Grille!$C$5:$C$40,B22,Grille!$E$5:$E$40,"&lt;"&amp;$B$11))</f>
        <v/>
      </c>
      <c r="D22" s="10" t="str">
        <f aca="false">IF(A22="","",SUMIFS(Grille!$E$5:$E$40,Grille!$D$5:$D$40,A22,Grille!$C$5:$C$40,B22))</f>
        <v/>
      </c>
      <c r="E22" s="8" t="str">
        <f aca="false">IF(A22="","",IF(C22&gt;=3,"A investiguer","OK"))</f>
        <v/>
      </c>
    </row>
    <row r="23" customFormat="false" ht="15" hidden="false" customHeight="false" outlineLevel="0" collapsed="false">
      <c r="A23" s="4"/>
      <c r="B23" s="4"/>
      <c r="C23" s="4" t="str">
        <f aca="false">IF(A23="","",COUNTIFS(Grille!$D$5:$D$40,A23,Grille!$C$5:$C$40,B23,Grille!$E$5:$E$40,"&lt;"&amp;$B$11))</f>
        <v/>
      </c>
      <c r="D23" s="6" t="str">
        <f aca="false">IF(A23="","",SUMIFS(Grille!$E$5:$E$40,Grille!$D$5:$D$40,A23,Grille!$C$5:$C$40,B23))</f>
        <v/>
      </c>
      <c r="E23" s="4" t="str">
        <f aca="false">IF(A23="","",IF(C23&gt;=3,"A investiguer","OK"))</f>
        <v/>
      </c>
    </row>
    <row r="24" customFormat="false" ht="15" hidden="false" customHeight="false" outlineLevel="0" collapsed="false">
      <c r="A24" s="8"/>
      <c r="B24" s="8"/>
      <c r="C24" s="8" t="str">
        <f aca="false">IF(A24="","",COUNTIFS(Grille!$D$5:$D$40,A24,Grille!$C$5:$C$40,B24,Grille!$E$5:$E$40,"&lt;"&amp;$B$11))</f>
        <v/>
      </c>
      <c r="D24" s="10" t="str">
        <f aca="false">IF(A24="","",SUMIFS(Grille!$E$5:$E$40,Grille!$D$5:$D$40,A24,Grille!$C$5:$C$40,B24))</f>
        <v/>
      </c>
      <c r="E24" s="8" t="str">
        <f aca="false">IF(A24="","",IF(C24&gt;=3,"A investiguer","OK"))</f>
        <v/>
      </c>
    </row>
  </sheetData>
  <mergeCells count="3">
    <mergeCell ref="A1:E1"/>
    <mergeCell ref="A2:E2"/>
    <mergeCell ref="A13:E13"/>
  </mergeCells>
  <conditionalFormatting sqref="E16:E24">
    <cfRule type="expression" priority="2" aboveAverage="0" equalAverage="0" bottom="0" percent="0" rank="0" text="" dxfId="1">
      <formula>E16="A investiguer"</formula>
    </cfRule>
    <cfRule type="expression" priority="3" aboveAverage="0" equalAverage="0" bottom="0" percent="0" rank="0" text="" dxfId="2">
      <formula>E16="OK"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2026-09-09T22:44:19Z</dcterms:created>
  <dc:creator>openpyxl</dc:creator>
  <dc:description/>
  <dc:language>fr-FR</dc:language>
  <cp:lastModifiedBy/>
  <dcterms:modified xsi:type="dcterms:W3CDTF">2026-09-09T22:44:19Z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