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ie &amp; Présences" sheetId="1" state="visible" r:id="rId3"/>
    <sheet name="Heures Supplémentai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<sst xmlns="http://schemas.openxmlformats.org/spreadsheetml/2006/main" count="34" uniqueCount="32">
  <si>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GRILLE D'AUDIT PAIE &amp; PRÉSENCES</t>
  </si>
  <si>
    <t xml:space="preserve">Module 05 — Audit des RH &amp; Programmes — BK-BOOST Ltd.</t>
  </si>
  <si>
    <t xml:space="preserve">Employé (nom, poste)</t>
  </si>
  <si>
    <t xml:space="preserve">Site / commune</t>
  </si>
  <si>
    <t xml:space="preserve">Période contrôlée</t>
  </si>
  <si>
    <t xml:space="preserve">Salaire payé (bulletin)</t>
  </si>
  <si>
    <t xml:space="preserve">Salaire autorisé (contrat)</t>
  </si>
  <si>
    <t xml:space="preserve">Écart (calculé)</t>
  </si>
  <si>
    <t xml:space="preserve">Présence confirmée sur site
(source indépendante) ?</t>
  </si>
  <si>
    <t xml:space="preserve">Nb. périodes consécutives
sans confirmation</t>
  </si>
  <si>
    <t xml:space="preserve">Risque ghost worker</t>
  </si>
  <si>
    <t xml:space="preserve">Ex. — Amara K., superviseur logistique</t>
  </si>
  <si>
    <t xml:space="preserve">Miragoâne</t>
  </si>
  <si>
    <t xml:space="preserve">Juin 2026</t>
  </si>
  <si>
    <t xml:space="preserve">Oui</t>
  </si>
  <si>
    <t xml:space="preserve">Ex. — Paul N., agent de terrain</t>
  </si>
  <si>
    <t xml:space="preserve">Anse-à-Veau</t>
  </si>
  <si>
    <t xml:space="preserve">Non</t>
  </si>
  <si>
    <t xml:space="preserve">Note : le drapeau "RISQUE GHOST WORKER" se déclenche automatiquement dès qu'une présence n'est pas confirmée par une source indépendante sur 2 périodes consécutives ou plus. C'est un signal à investiguer selon la démarche du module — jamais encore une conclusion.</t>
  </si>
  <si>
    <t xml:space="preserve">Nombre de lignes en RISQUE GHOST WORKER</t>
  </si>
  <si>
    <t xml:space="preserve">SUIVI DES SCHÉMAS D'HEURES SUPPLÉMENTAIRES PAR ÉQUIPE</t>
  </si>
  <si>
    <t xml:space="preserve">Équipe / activité</t>
  </si>
  <si>
    <t xml:space="preserve">Site</t>
  </si>
  <si>
    <t xml:space="preserve">Mois -2 (h. sup.)</t>
  </si>
  <si>
    <t xml:space="preserve">Mois -1 (h. sup.)</t>
  </si>
  <si>
    <t xml:space="preserve">Mois en cours (h. sup.)</t>
  </si>
  <si>
    <t xml:space="preserve">Moyenne 3 mois</t>
  </si>
  <si>
    <t xml:space="preserve">Récurrence ≥ 3 mois consécutifs ?</t>
  </si>
  <si>
    <t xml:space="preserve">Lecture combinée (RH + Programme)</t>
  </si>
  <si>
    <t xml:space="preserve">Ex. — Équipe suivi communautaire</t>
  </si>
  <si>
    <t xml:space="preserve">Nippes</t>
  </si>
  <si>
    <t xml:space="preserve">Note : une récurrence sur 3 mois consécutifs ne se clôture jamais uniquement côté RH — elle doit systématiquement être posée comme question programmatique (l'effectif budgété est-il réaliste face au plan d'activité ?) en parallèle du contrôle de conformité du paiement.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</si>
</sst>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;&quot;&quot;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FFFFFF"/>
        <bgColor rgb="FFECFDF5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91C1C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B45309"/>
        <sz val="10"/>
      </font>
      <fill>
        <patternFill>
          <bgColor rgb="FFFEF3C7"/>
        </patternFill>
      </fill>
    </dxf>
    <dxf>
      <font>
        <name val="Arial"/>
        <charset val="1"/>
        <family val="0"/>
        <color rgb="FF047857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4" hidden="false" customHeight="false" outlineLevel="0" collapsed="false">
      <c r="A5" s="4" t="s">
        <v>11</v>
      </c>
      <c r="B5" s="4" t="s">
        <v>12</v>
      </c>
      <c r="C5" s="4" t="s">
        <v>13</v>
      </c>
      <c r="D5" s="5" t="n">
        <v>450</v>
      </c>
      <c r="E5" s="5" t="n">
        <v>450</v>
      </c>
      <c r="F5" s="6" t="n">
        <f aca="false">IF(AND(D5="",E5=""),"",D5-E5)</f>
        <v>0</v>
      </c>
      <c r="G5" s="5" t="s">
        <v>14</v>
      </c>
      <c r="H5" s="5" t="n">
        <v>0</v>
      </c>
      <c r="I5" s="5" t="str">
        <f aca="false">IF(G5="", "", IF(AND(G5="Non", H5&gt;=2), "RISQUE GHOST WORKER", IF(AND(G5="Non", H5&lt;2), "À surveiller", "OK")))</f>
        <v>OK</v>
      </c>
    </row>
    <row r="6" customFormat="false" ht="24" hidden="false" customHeight="false" outlineLevel="0" collapsed="false">
      <c r="A6" s="7" t="s">
        <v>15</v>
      </c>
      <c r="B6" s="7" t="s">
        <v>16</v>
      </c>
      <c r="C6" s="7" t="s">
        <v>13</v>
      </c>
      <c r="D6" s="8" t="n">
        <v>380</v>
      </c>
      <c r="E6" s="8" t="n">
        <v>380</v>
      </c>
      <c r="F6" s="9" t="n">
        <f aca="false">IF(AND(D6="",E6=""),"",D6-E6)</f>
        <v>0</v>
      </c>
      <c r="G6" s="8" t="s">
        <v>17</v>
      </c>
      <c r="H6" s="8" t="n">
        <v>3</v>
      </c>
      <c r="I6" s="8" t="str">
        <f aca="false">IF(G6="", "", IF(AND(G6="Non", H6&gt;=2), "RISQUE GHOST WORKER", IF(AND(G6="Non", H6&lt;2), "À surveiller", "OK")))</f>
        <v>RISQUE GHOST WORKER</v>
      </c>
    </row>
    <row r="7" customFormat="false" ht="15" hidden="false" customHeight="false" outlineLevel="0" collapsed="false">
      <c r="A7" s="4"/>
      <c r="B7" s="4"/>
      <c r="C7" s="4"/>
      <c r="D7" s="5"/>
      <c r="E7" s="5"/>
      <c r="F7" s="6" t="str">
        <f aca="false">IF(AND(D7="",E7=""),"",D7-E7)</f>
        <v/>
      </c>
      <c r="G7" s="5"/>
      <c r="H7" s="5"/>
      <c r="I7" s="5" t="str">
        <f aca="false">IF(G7="", "", IF(AND(G7="Non", H7&gt;=2), "RISQUE GHOST WORKER", IF(AND(G7="Non", H7&lt;2), "À surveiller", "OK")))</f>
        <v/>
      </c>
    </row>
    <row r="8" customFormat="false" ht="15" hidden="false" customHeight="false" outlineLevel="0" collapsed="false">
      <c r="A8" s="7"/>
      <c r="B8" s="7"/>
      <c r="C8" s="7"/>
      <c r="D8" s="8"/>
      <c r="E8" s="8"/>
      <c r="F8" s="9" t="str">
        <f aca="false">IF(AND(D8="",E8=""),"",D8-E8)</f>
        <v/>
      </c>
      <c r="G8" s="8"/>
      <c r="H8" s="8"/>
      <c r="I8" s="8" t="str">
        <f aca="false">IF(G8="", "", IF(AND(G8="Non", H8&gt;=2), "RISQUE GHOST WORKER", IF(AND(G8="Non", H8&lt;2), "À surveiller", "OK")))</f>
        <v/>
      </c>
    </row>
    <row r="9" customFormat="false" ht="15" hidden="false" customHeight="false" outlineLevel="0" collapsed="false">
      <c r="A9" s="4"/>
      <c r="B9" s="4"/>
      <c r="C9" s="4"/>
      <c r="D9" s="5"/>
      <c r="E9" s="5"/>
      <c r="F9" s="6" t="str">
        <f aca="false">IF(AND(D9="",E9=""),"",D9-E9)</f>
        <v/>
      </c>
      <c r="G9" s="5"/>
      <c r="H9" s="5"/>
      <c r="I9" s="5" t="str">
        <f aca="false">IF(G9="", "", IF(AND(G9="Non", H9&gt;=2), "RISQUE GHOST WORKER", IF(AND(G9="Non", H9&lt;2), "À surveiller", "OK")))</f>
        <v/>
      </c>
    </row>
    <row r="10" customFormat="false" ht="15" hidden="false" customHeight="false" outlineLevel="0" collapsed="false">
      <c r="A10" s="7"/>
      <c r="B10" s="7"/>
      <c r="C10" s="7"/>
      <c r="D10" s="8"/>
      <c r="E10" s="8"/>
      <c r="F10" s="9" t="str">
        <f aca="false">IF(AND(D10="",E10=""),"",D10-E10)</f>
        <v/>
      </c>
      <c r="G10" s="8"/>
      <c r="H10" s="8"/>
      <c r="I10" s="8" t="str">
        <f aca="false">IF(G10="", "", IF(AND(G10="Non", H10&gt;=2), "RISQUE GHOST WORKER", IF(AND(G10="Non", H10&lt;2), "À surveiller", "OK")))</f>
        <v/>
      </c>
    </row>
    <row r="11" customFormat="false" ht="15" hidden="false" customHeight="false" outlineLevel="0" collapsed="false">
      <c r="A11" s="4"/>
      <c r="B11" s="4"/>
      <c r="C11" s="4"/>
      <c r="D11" s="5"/>
      <c r="E11" s="5"/>
      <c r="F11" s="6" t="str">
        <f aca="false">IF(AND(D11="",E11=""),"",D11-E11)</f>
        <v/>
      </c>
      <c r="G11" s="5"/>
      <c r="H11" s="5"/>
      <c r="I11" s="5" t="str">
        <f aca="false">IF(G11="", "", IF(AND(G11="Non", H11&gt;=2), "RISQUE GHOST WORKER", IF(AND(G11="Non", H11&lt;2), "À surveiller", "OK")))</f>
        <v/>
      </c>
    </row>
    <row r="12" customFormat="false" ht="15" hidden="false" customHeight="false" outlineLevel="0" collapsed="false">
      <c r="A12" s="7"/>
      <c r="B12" s="7"/>
      <c r="C12" s="7"/>
      <c r="D12" s="8"/>
      <c r="E12" s="8"/>
      <c r="F12" s="9" t="str">
        <f aca="false">IF(AND(D12="",E12=""),"",D12-E12)</f>
        <v/>
      </c>
      <c r="G12" s="8"/>
      <c r="H12" s="8"/>
      <c r="I12" s="8" t="str">
        <f aca="false">IF(G12="", "", IF(AND(G12="Non", H12&gt;=2), "RISQUE GHOST WORKER", IF(AND(G12="Non", H12&lt;2), "À surveiller", "OK")))</f>
        <v/>
      </c>
    </row>
    <row r="13" customFormat="false" ht="15" hidden="false" customHeight="false" outlineLevel="0" collapsed="false">
      <c r="A13" s="4"/>
      <c r="B13" s="4"/>
      <c r="C13" s="4"/>
      <c r="D13" s="5"/>
      <c r="E13" s="5"/>
      <c r="F13" s="6" t="str">
        <f aca="false">IF(AND(D13="",E13=""),"",D13-E13)</f>
        <v/>
      </c>
      <c r="G13" s="5"/>
      <c r="H13" s="5"/>
      <c r="I13" s="5" t="str">
        <f aca="false">IF(G13="", "", IF(AND(G13="Non", H13&gt;=2), "RISQUE GHOST WORKER", IF(AND(G13="Non", H13&lt;2), "À surveiller", "OK")))</f>
        <v/>
      </c>
    </row>
    <row r="14" customFormat="false" ht="15" hidden="false" customHeight="false" outlineLevel="0" collapsed="false">
      <c r="A14" s="7"/>
      <c r="B14" s="7"/>
      <c r="C14" s="7"/>
      <c r="D14" s="8"/>
      <c r="E14" s="8"/>
      <c r="F14" s="9" t="str">
        <f aca="false">IF(AND(D14="",E14=""),"",D14-E14)</f>
        <v/>
      </c>
      <c r="G14" s="8"/>
      <c r="H14" s="8"/>
      <c r="I14" s="8" t="str">
        <f aca="false">IF(G14="", "", IF(AND(G14="Non", H14&gt;=2), "RISQUE GHOST WORKER", IF(AND(G14="Non", H14&lt;2), "À surveiller", "OK")))</f>
        <v/>
      </c>
    </row>
    <row r="15" customFormat="false" ht="15" hidden="false" customHeight="false" outlineLevel="0" collapsed="false">
      <c r="A15" s="4"/>
      <c r="B15" s="4"/>
      <c r="C15" s="4"/>
      <c r="D15" s="5"/>
      <c r="E15" s="5"/>
      <c r="F15" s="6" t="str">
        <f aca="false">IF(AND(D15="",E15=""),"",D15-E15)</f>
        <v/>
      </c>
      <c r="G15" s="5"/>
      <c r="H15" s="5"/>
      <c r="I15" s="5" t="str">
        <f aca="false">IF(G15="", "", IF(AND(G15="Non", H15&gt;=2), "RISQUE GHOST WORKER", IF(AND(G15="Non", H15&lt;2), "À surveiller", "OK")))</f>
        <v/>
      </c>
    </row>
    <row r="16" customFormat="false" ht="15" hidden="false" customHeight="false" outlineLevel="0" collapsed="false">
      <c r="A16" s="7"/>
      <c r="B16" s="7"/>
      <c r="C16" s="7"/>
      <c r="D16" s="8"/>
      <c r="E16" s="8"/>
      <c r="F16" s="9" t="str">
        <f aca="false">IF(AND(D16="",E16=""),"",D16-E16)</f>
        <v/>
      </c>
      <c r="G16" s="8"/>
      <c r="H16" s="8"/>
      <c r="I16" s="8" t="str">
        <f aca="false">IF(G16="", "", IF(AND(G16="Non", H16&gt;=2), "RISQUE GHOST WORKER", IF(AND(G16="Non", H16&lt;2), "À surveiller", "OK")))</f>
        <v/>
      </c>
    </row>
    <row r="17" customFormat="false" ht="15" hidden="false" customHeight="false" outlineLevel="0" collapsed="false">
      <c r="A17" s="4"/>
      <c r="B17" s="4"/>
      <c r="C17" s="4"/>
      <c r="D17" s="5"/>
      <c r="E17" s="5"/>
      <c r="F17" s="6" t="str">
        <f aca="false">IF(AND(D17="",E17=""),"",D17-E17)</f>
        <v/>
      </c>
      <c r="G17" s="5"/>
      <c r="H17" s="5"/>
      <c r="I17" s="5" t="str">
        <f aca="false">IF(G17="", "", IF(AND(G17="Non", H17&gt;=2), "RISQUE GHOST WORKER", IF(AND(G17="Non", H17&lt;2), "À surveiller", "OK")))</f>
        <v/>
      </c>
    </row>
    <row r="18" customFormat="false" ht="15" hidden="false" customHeight="false" outlineLevel="0" collapsed="false">
      <c r="A18" s="7"/>
      <c r="B18" s="7"/>
      <c r="C18" s="7"/>
      <c r="D18" s="8"/>
      <c r="E18" s="8"/>
      <c r="F18" s="9" t="str">
        <f aca="false">IF(AND(D18="",E18=""),"",D18-E18)</f>
        <v/>
      </c>
      <c r="G18" s="8"/>
      <c r="H18" s="8"/>
      <c r="I18" s="8" t="str">
        <f aca="false">IF(G18="", "", IF(AND(G18="Non", H18&gt;=2), "RISQUE GHOST WORKER", IF(AND(G18="Non", H18&lt;2), "À surveiller", "OK")))</f>
        <v/>
      </c>
    </row>
    <row r="19" customFormat="false" ht="15" hidden="false" customHeight="false" outlineLevel="0" collapsed="false">
      <c r="A19" s="4"/>
      <c r="B19" s="4"/>
      <c r="C19" s="4"/>
      <c r="D19" s="5"/>
      <c r="E19" s="5"/>
      <c r="F19" s="6" t="str">
        <f aca="false">IF(AND(D19="",E19=""),"",D19-E19)</f>
        <v/>
      </c>
      <c r="G19" s="5"/>
      <c r="H19" s="5"/>
      <c r="I19" s="5" t="str">
        <f aca="false">IF(G19="", "", IF(AND(G19="Non", H19&gt;=2), "RISQUE GHOST WORKER", IF(AND(G19="Non", H19&lt;2), "À surveiller", "OK")))</f>
        <v/>
      </c>
    </row>
    <row r="20" customFormat="false" ht="15" hidden="false" customHeight="false" outlineLevel="0" collapsed="false">
      <c r="A20" s="7"/>
      <c r="B20" s="7"/>
      <c r="C20" s="7"/>
      <c r="D20" s="8"/>
      <c r="E20" s="8"/>
      <c r="F20" s="9" t="str">
        <f aca="false">IF(AND(D20="",E20=""),"",D20-E20)</f>
        <v/>
      </c>
      <c r="G20" s="8"/>
      <c r="H20" s="8"/>
      <c r="I20" s="8" t="str">
        <f aca="false">IF(G20="", "", IF(AND(G20="Non", H20&gt;=2), "RISQUE GHOST WORKER", IF(AND(G20="Non", H20&lt;2), "À surveiller", "OK")))</f>
        <v/>
      </c>
    </row>
    <row r="21" customFormat="false" ht="15" hidden="false" customHeight="false" outlineLevel="0" collapsed="false">
      <c r="A21" s="4"/>
      <c r="B21" s="4"/>
      <c r="C21" s="4"/>
      <c r="D21" s="5"/>
      <c r="E21" s="5"/>
      <c r="F21" s="6" t="str">
        <f aca="false">IF(AND(D21="",E21=""),"",D21-E21)</f>
        <v/>
      </c>
      <c r="G21" s="5"/>
      <c r="H21" s="5"/>
      <c r="I21" s="5" t="str">
        <f aca="false">IF(G21="", "", IF(AND(G21="Non", H21&gt;=2), "RISQUE GHOST WORKER", IF(AND(G21="Non", H21&lt;2), "À surveiller", "OK")))</f>
        <v/>
      </c>
    </row>
    <row r="22" customFormat="false" ht="15" hidden="false" customHeight="false" outlineLevel="0" collapsed="false">
      <c r="A22" s="7"/>
      <c r="B22" s="7"/>
      <c r="C22" s="7"/>
      <c r="D22" s="8"/>
      <c r="E22" s="8"/>
      <c r="F22" s="9" t="str">
        <f aca="false">IF(AND(D22="",E22=""),"",D22-E22)</f>
        <v/>
      </c>
      <c r="G22" s="8"/>
      <c r="H22" s="8"/>
      <c r="I22" s="8" t="str">
        <f aca="false">IF(G22="", "", IF(AND(G22="Non", H22&gt;=2), "RISQUE GHOST WORKER", IF(AND(G22="Non", H22&lt;2), "À surveiller", "OK")))</f>
        <v/>
      </c>
    </row>
    <row r="23" customFormat="false" ht="15" hidden="false" customHeight="false" outlineLevel="0" collapsed="false">
      <c r="A23" s="4"/>
      <c r="B23" s="4"/>
      <c r="C23" s="4"/>
      <c r="D23" s="5"/>
      <c r="E23" s="5"/>
      <c r="F23" s="6" t="str">
        <f aca="false">IF(AND(D23="",E23=""),"",D23-E23)</f>
        <v/>
      </c>
      <c r="G23" s="5"/>
      <c r="H23" s="5"/>
      <c r="I23" s="5" t="str">
        <f aca="false">IF(G23="", "", IF(AND(G23="Non", H23&gt;=2), "RISQUE GHOST WORKER", IF(AND(G23="Non", H23&lt;2), "À surveiller", "OK")))</f>
        <v/>
      </c>
    </row>
    <row r="24" customFormat="false" ht="15" hidden="false" customHeight="false" outlineLevel="0" collapsed="false">
      <c r="A24" s="7"/>
      <c r="B24" s="7"/>
      <c r="C24" s="7"/>
      <c r="D24" s="8"/>
      <c r="E24" s="8"/>
      <c r="F24" s="9" t="str">
        <f aca="false">IF(AND(D24="",E24=""),"",D24-E24)</f>
        <v/>
      </c>
      <c r="G24" s="8"/>
      <c r="H24" s="8"/>
      <c r="I24" s="8" t="str">
        <f aca="false">IF(G24="", "", IF(AND(G24="Non", H24&gt;=2), "RISQUE GHOST WORKER", IF(AND(G24="Non", H24&lt;2), "À surveiller", "OK")))</f>
        <v/>
      </c>
    </row>
    <row r="26" customFormat="false" ht="30" hidden="false" customHeight="true" outlineLevel="0" collapsed="false">
      <c r="A26" s="10" t="s">
        <v>18</v>
      </c>
      <c r="B26" s="10"/>
      <c r="C26" s="10"/>
      <c r="D26" s="10"/>
      <c r="E26" s="10"/>
      <c r="F26" s="10"/>
      <c r="G26" s="10"/>
      <c r="H26" s="10"/>
      <c r="I26" s="10"/>
    </row>
    <row r="28" customFormat="false" ht="15" hidden="false" customHeight="false" outlineLevel="0" collapsed="false">
      <c r="A28" s="11" t="s">
        <v>19</v>
      </c>
      <c r="B28" s="11"/>
      <c r="C28" s="11"/>
      <c r="D28" s="12" t="n">
        <f aca="false">COUNTIF(I5:I24,"RISQUE GHOST WORKER")</f>
        <v>1</v>
      </c>
    </row>
  </sheetData>
  <mergeCells count="4">
    <mergeCell ref="A1:I1"/>
    <mergeCell ref="A2:I2"/>
    <mergeCell ref="A26:I26"/>
    <mergeCell ref="A28:C28"/>
  </mergeCells>
  <conditionalFormatting sqref="I5:I24">
    <cfRule type="cellIs" priority="2" operator="equal" aboveAverage="0" equalAverage="0" bottom="0" percent="0" rank="0" text="" dxfId="0">
      <formula>"RISQUE GHOST WORKER"</formula>
    </cfRule>
    <cfRule type="cellIs" priority="3" operator="equal" aboveAverage="0" equalAverage="0" bottom="0" percent="0" rank="0" text="" dxfId="1">
      <formula>"À surveiller"</formula>
    </cfRule>
    <cfRule type="cellIs" priority="4" operator="equal" aboveAverage="0" equalAverage="0" bottom="0" percent="0" rank="0" text="" dxfId="2">
      <formula>"OK"</formula>
    </cfRule>
  </conditionalFormatting>
  <dataValidations count="1">
    <dataValidation allowBlank="true" errorStyle="stop" operator="between" showDropDown="false" showErrorMessage="false" showInputMessage="false" sqref="G5:G24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customFormat="false" ht="35" hidden="false" customHeight="false" outlineLevel="0" collapsed="false">
      <c r="A5" s="4" t="s">
        <v>29</v>
      </c>
      <c r="B5" s="4" t="s">
        <v>30</v>
      </c>
      <c r="C5" s="5" t="n">
        <v>28</v>
      </c>
      <c r="D5" s="5" t="n">
        <v>31</v>
      </c>
      <c r="E5" s="5" t="n">
        <v>30</v>
      </c>
      <c r="F5" s="13" t="n">
        <f aca="false">IF(COUNT(C5,D5,E5)=0,"",AVERAGE(C5:E5))</f>
        <v>29.6666666666667</v>
      </c>
      <c r="G5" s="5" t="str">
        <f aca="false">IF(F5="","",IF(AND(C5&gt;0,D5&gt;0,E5&gt;0),"Oui","Non"))</f>
        <v>Oui</v>
      </c>
      <c r="H5" s="5" t="str">
        <f aca="false">IF(G5="","",IF(G5="Oui","Sous-effectif chronique probable OU heures manipulées — à documenter RH ET Programme","Ponctuel — vérifier la cause avant de classer"))</f>
        <v>Sous-effectif chronique probable OU heures manipulées — à documenter RH ET Programme</v>
      </c>
    </row>
    <row r="6" customFormat="false" ht="15" hidden="false" customHeight="false" outlineLevel="0" collapsed="false">
      <c r="A6" s="7"/>
      <c r="B6" s="7"/>
      <c r="C6" s="8"/>
      <c r="D6" s="8"/>
      <c r="E6" s="8"/>
      <c r="F6" s="14" t="str">
        <f aca="false">IF(COUNT(C6,D6,E6)=0,"",AVERAGE(C6:E6))</f>
        <v/>
      </c>
      <c r="G6" s="8" t="str">
        <f aca="false">IF(F6="","",IF(AND(C6&gt;0,D6&gt;0,E6&gt;0),"Oui","Non"))</f>
        <v/>
      </c>
      <c r="H6" s="8" t="str">
        <f aca="false">IF(G6="","",IF(G6="Oui","Sous-effectif chronique probable OU heures manipulées — à documenter RH ET Programme","Ponctuel — vérifier la cause avant de classer"))</f>
        <v/>
      </c>
    </row>
    <row r="7" customFormat="false" ht="15" hidden="false" customHeight="false" outlineLevel="0" collapsed="false">
      <c r="A7" s="4"/>
      <c r="B7" s="4"/>
      <c r="C7" s="5"/>
      <c r="D7" s="5"/>
      <c r="E7" s="5"/>
      <c r="F7" s="13" t="str">
        <f aca="false">IF(COUNT(C7,D7,E7)=0,"",AVERAGE(C7:E7))</f>
        <v/>
      </c>
      <c r="G7" s="5" t="str">
        <f aca="false">IF(F7="","",IF(AND(C7&gt;0,D7&gt;0,E7&gt;0),"Oui","Non"))</f>
        <v/>
      </c>
      <c r="H7" s="5" t="str">
        <f aca="false">IF(G7="","",IF(G7="Oui","Sous-effectif chronique probable OU heures manipulées — à documenter RH ET Programme","Ponctuel — vérifier la cause avant de classer"))</f>
        <v/>
      </c>
    </row>
    <row r="8" customFormat="false" ht="15" hidden="false" customHeight="false" outlineLevel="0" collapsed="false">
      <c r="A8" s="7"/>
      <c r="B8" s="7"/>
      <c r="C8" s="8"/>
      <c r="D8" s="8"/>
      <c r="E8" s="8"/>
      <c r="F8" s="14" t="str">
        <f aca="false">IF(COUNT(C8,D8,E8)=0,"",AVERAGE(C8:E8))</f>
        <v/>
      </c>
      <c r="G8" s="8" t="str">
        <f aca="false">IF(F8="","",IF(AND(C8&gt;0,D8&gt;0,E8&gt;0),"Oui","Non"))</f>
        <v/>
      </c>
      <c r="H8" s="8" t="str">
        <f aca="false">IF(G8="","",IF(G8="Oui","Sous-effectif chronique probable OU heures manipulées — à documenter RH ET Programme","Ponctuel — vérifier la cause avant de classer"))</f>
        <v/>
      </c>
    </row>
    <row r="9" customFormat="false" ht="15" hidden="false" customHeight="false" outlineLevel="0" collapsed="false">
      <c r="A9" s="4"/>
      <c r="B9" s="4"/>
      <c r="C9" s="5"/>
      <c r="D9" s="5"/>
      <c r="E9" s="5"/>
      <c r="F9" s="13" t="str">
        <f aca="false">IF(COUNT(C9,D9,E9)=0,"",AVERAGE(C9:E9))</f>
        <v/>
      </c>
      <c r="G9" s="5" t="str">
        <f aca="false">IF(F9="","",IF(AND(C9&gt;0,D9&gt;0,E9&gt;0),"Oui","Non"))</f>
        <v/>
      </c>
      <c r="H9" s="5" t="str">
        <f aca="false">IF(G9="","",IF(G9="Oui","Sous-effectif chronique probable OU heures manipulées — à documenter RH ET Programme","Ponctuel — vérifier la cause avant de classer"))</f>
        <v/>
      </c>
    </row>
    <row r="10" customFormat="false" ht="15" hidden="false" customHeight="false" outlineLevel="0" collapsed="false">
      <c r="A10" s="7"/>
      <c r="B10" s="7"/>
      <c r="C10" s="8"/>
      <c r="D10" s="8"/>
      <c r="E10" s="8"/>
      <c r="F10" s="14" t="str">
        <f aca="false">IF(COUNT(C10,D10,E10)=0,"",AVERAGE(C10:E10))</f>
        <v/>
      </c>
      <c r="G10" s="8" t="str">
        <f aca="false">IF(F10="","",IF(AND(C10&gt;0,D10&gt;0,E10&gt;0),"Oui","Non"))</f>
        <v/>
      </c>
      <c r="H10" s="8" t="str">
        <f aca="false">IF(G10="","",IF(G10="Oui","Sous-effectif chronique probable OU heures manipulées — à documenter RH ET Programme","Ponctuel — vérifier la cause avant de classer"))</f>
        <v/>
      </c>
    </row>
    <row r="11" customFormat="false" ht="15" hidden="false" customHeight="false" outlineLevel="0" collapsed="false">
      <c r="A11" s="4"/>
      <c r="B11" s="4"/>
      <c r="C11" s="5"/>
      <c r="D11" s="5"/>
      <c r="E11" s="5"/>
      <c r="F11" s="13" t="str">
        <f aca="false">IF(COUNT(C11,D11,E11)=0,"",AVERAGE(C11:E11))</f>
        <v/>
      </c>
      <c r="G11" s="5" t="str">
        <f aca="false">IF(F11="","",IF(AND(C11&gt;0,D11&gt;0,E11&gt;0),"Oui","Non"))</f>
        <v/>
      </c>
      <c r="H11" s="5" t="str">
        <f aca="false">IF(G11="","",IF(G11="Oui","Sous-effectif chronique probable OU heures manipulées — à documenter RH ET Programme","Ponctuel — vérifier la cause avant de classer"))</f>
        <v/>
      </c>
    </row>
    <row r="12" customFormat="false" ht="15" hidden="false" customHeight="false" outlineLevel="0" collapsed="false">
      <c r="A12" s="7"/>
      <c r="B12" s="7"/>
      <c r="C12" s="8"/>
      <c r="D12" s="8"/>
      <c r="E12" s="8"/>
      <c r="F12" s="14" t="str">
        <f aca="false">IF(COUNT(C12,D12,E12)=0,"",AVERAGE(C12:E12))</f>
        <v/>
      </c>
      <c r="G12" s="8" t="str">
        <f aca="false">IF(F12="","",IF(AND(C12&gt;0,D12&gt;0,E12&gt;0),"Oui","Non"))</f>
        <v/>
      </c>
      <c r="H12" s="8" t="str">
        <f aca="false">IF(G12="","",IF(G12="Oui","Sous-effectif chronique probable OU heures manipulées — à documenter RH ET Programme","Ponctuel — vérifier la cause avant de classer"))</f>
        <v/>
      </c>
    </row>
    <row r="13" customFormat="false" ht="15" hidden="false" customHeight="false" outlineLevel="0" collapsed="false">
      <c r="A13" s="4"/>
      <c r="B13" s="4"/>
      <c r="C13" s="5"/>
      <c r="D13" s="5"/>
      <c r="E13" s="5"/>
      <c r="F13" s="13" t="str">
        <f aca="false">IF(COUNT(C13,D13,E13)=0,"",AVERAGE(C13:E13))</f>
        <v/>
      </c>
      <c r="G13" s="5" t="str">
        <f aca="false">IF(F13="","",IF(AND(C13&gt;0,D13&gt;0,E13&gt;0),"Oui","Non"))</f>
        <v/>
      </c>
      <c r="H13" s="5" t="str">
        <f aca="false">IF(G13="","",IF(G13="Oui","Sous-effectif chronique probable OU heures manipulées — à documenter RH ET Programme","Ponctuel — vérifier la cause avant de classer"))</f>
        <v/>
      </c>
    </row>
    <row r="14" customFormat="false" ht="15" hidden="false" customHeight="false" outlineLevel="0" collapsed="false">
      <c r="A14" s="7"/>
      <c r="B14" s="7"/>
      <c r="C14" s="8"/>
      <c r="D14" s="8"/>
      <c r="E14" s="8"/>
      <c r="F14" s="14" t="str">
        <f aca="false">IF(COUNT(C14,D14,E14)=0,"",AVERAGE(C14:E14))</f>
        <v/>
      </c>
      <c r="G14" s="8" t="str">
        <f aca="false">IF(F14="","",IF(AND(C14&gt;0,D14&gt;0,E14&gt;0),"Oui","Non"))</f>
        <v/>
      </c>
      <c r="H14" s="8" t="str">
        <f aca="false">IF(G14="","",IF(G14="Oui","Sous-effectif chronique probable OU heures manipulées — à documenter RH ET Programme","Ponctuel — vérifier la cause avant de classer"))</f>
        <v/>
      </c>
    </row>
    <row r="15" customFormat="false" ht="15" hidden="false" customHeight="false" outlineLevel="0" collapsed="false">
      <c r="A15" s="4"/>
      <c r="B15" s="4"/>
      <c r="C15" s="5"/>
      <c r="D15" s="5"/>
      <c r="E15" s="5"/>
      <c r="F15" s="13" t="str">
        <f aca="false">IF(COUNT(C15,D15,E15)=0,"",AVERAGE(C15:E15))</f>
        <v/>
      </c>
      <c r="G15" s="5" t="str">
        <f aca="false">IF(F15="","",IF(AND(C15&gt;0,D15&gt;0,E15&gt;0),"Oui","Non"))</f>
        <v/>
      </c>
      <c r="H15" s="5" t="str">
        <f aca="false">IF(G15="","",IF(G15="Oui","Sous-effectif chronique probable OU heures manipulées — à documenter RH ET Programme","Ponctuel — vérifier la cause avant de classer"))</f>
        <v/>
      </c>
    </row>
    <row r="16" customFormat="false" ht="15" hidden="false" customHeight="false" outlineLevel="0" collapsed="false">
      <c r="A16" s="7"/>
      <c r="B16" s="7"/>
      <c r="C16" s="8"/>
      <c r="D16" s="8"/>
      <c r="E16" s="8"/>
      <c r="F16" s="14" t="str">
        <f aca="false">IF(COUNT(C16,D16,E16)=0,"",AVERAGE(C16:E16))</f>
        <v/>
      </c>
      <c r="G16" s="8" t="str">
        <f aca="false">IF(F16="","",IF(AND(C16&gt;0,D16&gt;0,E16&gt;0),"Oui","Non"))</f>
        <v/>
      </c>
      <c r="H16" s="8" t="str">
        <f aca="false">IF(G16="","",IF(G16="Oui","Sous-effectif chronique probable OU heures manipulées — à documenter RH ET Programme","Ponctuel — vérifier la cause avant de classer"))</f>
        <v/>
      </c>
    </row>
    <row r="18" customFormat="false" ht="30" hidden="false" customHeight="true" outlineLevel="0" collapsed="false">
      <c r="A18" s="10" t="s">
        <v>31</v>
      </c>
      <c r="B18" s="10"/>
      <c r="C18" s="10"/>
      <c r="D18" s="10"/>
      <c r="E18" s="10"/>
      <c r="F18" s="10"/>
      <c r="G18" s="10"/>
      <c r="H18" s="10"/>
    </row>
  </sheetData>
  <mergeCells count="3">
    <mergeCell ref="A1:H1"/>
    <mergeCell ref="A2:H2"/>
    <mergeCell ref="A18:H18"/>
  </mergeCells>
  <conditionalFormatting sqref="G5:G16">
    <cfRule type="cellIs" priority="2" operator="equal" aboveAverage="0" equalAverage="0" bottom="0" percent="0" rank="0" text="" dxfId="1">
      <formula>"Oui"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2026-09-09T22:43:14Z</dcterms:created>
  <dc:creator>openpyxl</dc:creator>
  <dc:description/>
  <dc:language>fr-FR</dc:language>
  <cp:lastModifiedBy/>
  <dcterms:modified xsi:type="dcterms:W3CDTF">2026-09-09T22:43:14Z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