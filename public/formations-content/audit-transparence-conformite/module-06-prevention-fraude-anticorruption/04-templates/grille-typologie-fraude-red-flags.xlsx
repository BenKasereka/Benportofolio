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ypologies &amp; red flags" sheetId="1" state="visible" r:id="rId3"/>
    <sheet name="Score de risqu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<sst xmlns="http://schemas.openxmlformats.org/spreadsheetml/2006/main" count="49" uniqueCount="33">
  <si>
    <t xml:space="preserve">GRILLE DES TYPOLOGIES DE FRAUDE &amp; RED FLAGS</t>
  </si>
  <si>
    <t xml:space="preserve">Module 06 — Prévention de la Fraude &amp; Politique Anti-Corruption — BK-BOOST Ltd.</t>
  </si>
  <si>
    <t xml:space="preserve">Typologie de fraude</t>
  </si>
  <si>
    <t xml:space="preserve">Indicateur de red flag (signature d'opportunité)</t>
  </si>
  <si>
    <t xml:space="preserve">Observé sur ce dossier ? (Oui/Non)</t>
  </si>
  <si>
    <t xml:space="preserve">Gravité (1-3)</t>
  </si>
  <si>
    <t xml:space="preserve">Constat / preuve datée</t>
  </si>
  <si>
    <t xml:space="preserve">Détournement</t>
  </si>
  <si>
    <t xml:space="preserve">Rapprochement bancaire effectué par la même personne qui décaisse</t>
  </si>
  <si>
    <t xml:space="preserve">Justificatifs de caisse répétitivement manquants ou tardifs pour la même personne</t>
  </si>
  <si>
    <t xml:space="preserve">Base isolée avec contrôle hiérarchique direct moins d'une fois par trimestre</t>
  </si>
  <si>
    <t xml:space="preserve">Écart de perception salariale marqué entre personnel national et international, jamais adressé</t>
  </si>
  <si>
    <t xml:space="preserve">Fausses factures</t>
  </si>
  <si>
    <t xml:space="preserve">Même petit cercle de fournisseurs systématiquement retenu sans mise en concurrence documentée</t>
  </si>
  <si>
    <t xml:space="preserve">Réception de marchandise non contre-vérifiée par une personne indépendante de l'achat</t>
  </si>
  <si>
    <t xml:space="preserve">Prix systématiquement supérieurs au marché local sans justification documentée</t>
  </si>
  <si>
    <t xml:space="preserve">Facture de complaisance suspectée (biens ou services jamais physiquement livrés)</t>
  </si>
  <si>
    <t xml:space="preserve">Ghost workers</t>
  </si>
  <si>
    <t xml:space="preserve">Personne gérant le fichier du personnel est aussi celle qui transmet la liste de paie, sans vérification croisée</t>
  </si>
  <si>
    <t xml:space="preserve">Absence de pointage biométrique ou de présence physique vérifiable sur les bases à fort turn-over</t>
  </si>
  <si>
    <t xml:space="preserve">Employé absent des visites terrain mais toujours présent sur la liste de paie</t>
  </si>
  <si>
    <t xml:space="preserve">Aucune radiation formalisée pour un départ connu depuis plusieurs mois</t>
  </si>
  <si>
    <t xml:space="preserve">Conflits d'intérêt</t>
  </si>
  <si>
    <t xml:space="preserve">Absence de procédure de déclaration systématique des liens d'intérêt à l'entrée en poste</t>
  </si>
  <si>
    <t xml:space="preserve">Marché attribué à une entreprise dont le lien avec un agent décisionnaire n'a jamais été vérifié</t>
  </si>
  <si>
    <t xml:space="preserve">Embauche d'un proche sans déclaration préalable ni recrutement documenté</t>
  </si>
  <si>
    <t xml:space="preserve">Décision sensible influencée par un agent ayant un intérêt financier personnel non déclaré</t>
  </si>
  <si>
    <t xml:space="preserve">SCORE DE RISQUE PAR CATÉGORIE</t>
  </si>
  <si>
    <t xml:space="preserve">Calculé automatiquement à partir des indicateurs cochés "Oui" dans l'onglet Typologies &amp; red flags.</t>
  </si>
  <si>
    <t xml:space="preserve">Catégorie</t>
  </si>
  <si>
    <t xml:space="preserve">Score de risque (somme des gravités observées)</t>
  </si>
  <si>
    <t xml:space="preserve">Niveau d'alerte</t>
  </si>
  <si>
    <t xml:space="preserve">TOTAL GÉNÉRAL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</si>
</sst>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0" hidden="false" customHeight="true" outlineLevel="0" collapsed="false">
      <c r="A5" s="4" t="s">
        <v>7</v>
      </c>
      <c r="B5" s="5" t="s">
        <v>8</v>
      </c>
      <c r="C5" s="4"/>
      <c r="D5" s="4" t="n">
        <v>3</v>
      </c>
      <c r="E5" s="5"/>
    </row>
    <row r="6" customFormat="false" ht="30" hidden="false" customHeight="true" outlineLevel="0" collapsed="false">
      <c r="A6" s="6" t="s">
        <v>7</v>
      </c>
      <c r="B6" s="7" t="s">
        <v>9</v>
      </c>
      <c r="C6" s="6"/>
      <c r="D6" s="6" t="n">
        <v>3</v>
      </c>
      <c r="E6" s="7"/>
    </row>
    <row r="7" customFormat="false" ht="30" hidden="false" customHeight="true" outlineLevel="0" collapsed="false">
      <c r="A7" s="4" t="s">
        <v>7</v>
      </c>
      <c r="B7" s="5" t="s">
        <v>10</v>
      </c>
      <c r="C7" s="4"/>
      <c r="D7" s="4" t="n">
        <v>2</v>
      </c>
      <c r="E7" s="5"/>
    </row>
    <row r="8" customFormat="false" ht="30" hidden="false" customHeight="true" outlineLevel="0" collapsed="false">
      <c r="A8" s="6" t="s">
        <v>7</v>
      </c>
      <c r="B8" s="7" t="s">
        <v>11</v>
      </c>
      <c r="C8" s="6"/>
      <c r="D8" s="6" t="n">
        <v>1</v>
      </c>
      <c r="E8" s="7"/>
    </row>
    <row r="9" customFormat="false" ht="30" hidden="false" customHeight="true" outlineLevel="0" collapsed="false">
      <c r="A9" s="4" t="s">
        <v>12</v>
      </c>
      <c r="B9" s="5" t="s">
        <v>13</v>
      </c>
      <c r="C9" s="4"/>
      <c r="D9" s="4" t="n">
        <v>3</v>
      </c>
      <c r="E9" s="5"/>
    </row>
    <row r="10" customFormat="false" ht="30" hidden="false" customHeight="true" outlineLevel="0" collapsed="false">
      <c r="A10" s="6" t="s">
        <v>12</v>
      </c>
      <c r="B10" s="7" t="s">
        <v>14</v>
      </c>
      <c r="C10" s="6"/>
      <c r="D10" s="6" t="n">
        <v>3</v>
      </c>
      <c r="E10" s="7"/>
    </row>
    <row r="11" customFormat="false" ht="30" hidden="false" customHeight="true" outlineLevel="0" collapsed="false">
      <c r="A11" s="4" t="s">
        <v>12</v>
      </c>
      <c r="B11" s="5" t="s">
        <v>15</v>
      </c>
      <c r="C11" s="4"/>
      <c r="D11" s="4" t="n">
        <v>2</v>
      </c>
      <c r="E11" s="5"/>
    </row>
    <row r="12" customFormat="false" ht="30" hidden="false" customHeight="true" outlineLevel="0" collapsed="false">
      <c r="A12" s="6" t="s">
        <v>12</v>
      </c>
      <c r="B12" s="7" t="s">
        <v>16</v>
      </c>
      <c r="C12" s="6"/>
      <c r="D12" s="6" t="n">
        <v>3</v>
      </c>
      <c r="E12" s="7"/>
    </row>
    <row r="13" customFormat="false" ht="30" hidden="false" customHeight="true" outlineLevel="0" collapsed="false">
      <c r="A13" s="4" t="s">
        <v>17</v>
      </c>
      <c r="B13" s="5" t="s">
        <v>18</v>
      </c>
      <c r="C13" s="4"/>
      <c r="D13" s="4" t="n">
        <v>3</v>
      </c>
      <c r="E13" s="5"/>
    </row>
    <row r="14" customFormat="false" ht="30" hidden="false" customHeight="true" outlineLevel="0" collapsed="false">
      <c r="A14" s="6" t="s">
        <v>17</v>
      </c>
      <c r="B14" s="7" t="s">
        <v>19</v>
      </c>
      <c r="C14" s="6"/>
      <c r="D14" s="6" t="n">
        <v>3</v>
      </c>
      <c r="E14" s="7"/>
    </row>
    <row r="15" customFormat="false" ht="30" hidden="false" customHeight="true" outlineLevel="0" collapsed="false">
      <c r="A15" s="4" t="s">
        <v>17</v>
      </c>
      <c r="B15" s="5" t="s">
        <v>20</v>
      </c>
      <c r="C15" s="4"/>
      <c r="D15" s="4" t="n">
        <v>3</v>
      </c>
      <c r="E15" s="5"/>
    </row>
    <row r="16" customFormat="false" ht="30" hidden="false" customHeight="true" outlineLevel="0" collapsed="false">
      <c r="A16" s="6" t="s">
        <v>17</v>
      </c>
      <c r="B16" s="7" t="s">
        <v>21</v>
      </c>
      <c r="C16" s="6"/>
      <c r="D16" s="6" t="n">
        <v>2</v>
      </c>
      <c r="E16" s="7"/>
    </row>
    <row r="17" customFormat="false" ht="30" hidden="false" customHeight="true" outlineLevel="0" collapsed="false">
      <c r="A17" s="4" t="s">
        <v>22</v>
      </c>
      <c r="B17" s="5" t="s">
        <v>23</v>
      </c>
      <c r="C17" s="4"/>
      <c r="D17" s="4" t="n">
        <v>2</v>
      </c>
      <c r="E17" s="5"/>
    </row>
    <row r="18" customFormat="false" ht="30" hidden="false" customHeight="true" outlineLevel="0" collapsed="false">
      <c r="A18" s="6" t="s">
        <v>22</v>
      </c>
      <c r="B18" s="7" t="s">
        <v>24</v>
      </c>
      <c r="C18" s="6"/>
      <c r="D18" s="6" t="n">
        <v>3</v>
      </c>
      <c r="E18" s="7"/>
    </row>
    <row r="19" customFormat="false" ht="30" hidden="false" customHeight="true" outlineLevel="0" collapsed="false">
      <c r="A19" s="4" t="s">
        <v>22</v>
      </c>
      <c r="B19" s="5" t="s">
        <v>25</v>
      </c>
      <c r="C19" s="4"/>
      <c r="D19" s="4" t="n">
        <v>2</v>
      </c>
      <c r="E19" s="5"/>
    </row>
    <row r="20" customFormat="false" ht="30" hidden="false" customHeight="true" outlineLevel="0" collapsed="false">
      <c r="A20" s="6" t="s">
        <v>22</v>
      </c>
      <c r="B20" s="7" t="s">
        <v>26</v>
      </c>
      <c r="C20" s="6"/>
      <c r="D20" s="6" t="n">
        <v>3</v>
      </c>
      <c r="E20" s="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0"/>
  </cols>
  <sheetData>
    <row r="1" customFormat="false" ht="27.75" hidden="false" customHeight="true" outlineLevel="0" collapsed="false">
      <c r="A1" s="1" t="s">
        <v>27</v>
      </c>
      <c r="B1" s="1"/>
      <c r="C1" s="1"/>
    </row>
    <row r="2" customFormat="false" ht="15" hidden="false" customHeight="true" outlineLevel="0" collapsed="false">
      <c r="A2" s="2" t="s">
        <v>28</v>
      </c>
      <c r="B2" s="2"/>
      <c r="C2" s="2"/>
    </row>
    <row r="4" customFormat="false" ht="31.5" hidden="false" customHeight="true" outlineLevel="0" collapsed="false">
      <c r="A4" s="3" t="s">
        <v>29</v>
      </c>
      <c r="B4" s="3" t="s">
        <v>30</v>
      </c>
      <c r="C4" s="3" t="s">
        <v>31</v>
      </c>
    </row>
    <row r="5" customFormat="false" ht="15" hidden="false" customHeight="false" outlineLevel="0" collapsed="false">
      <c r="A5" s="8" t="s">
        <v>7</v>
      </c>
      <c r="B5" s="9" t="n">
        <f aca="false">SUMIFS('Typologies &amp; red flags'!$D$5:$D$20,'Typologies &amp; red flags'!$A$5:$A$20,A5,'Typologies &amp; red flags'!$C$5:$C$20,"Oui")</f>
        <v>0</v>
      </c>
      <c r="C5" s="9" t="str">
        <f aca="false">IF(B5&gt;=6,"ALERTE ÉLEVÉE",IF(B5&gt;=3,"À SURVEILLER",IF(B5&gt;=1,"FAIBLE","NORMAL")))</f>
        <v>NORMAL</v>
      </c>
    </row>
    <row r="6" customFormat="false" ht="15" hidden="false" customHeight="false" outlineLevel="0" collapsed="false">
      <c r="A6" s="8" t="s">
        <v>12</v>
      </c>
      <c r="B6" s="9" t="n">
        <f aca="false">SUMIFS('Typologies &amp; red flags'!$D$5:$D$20,'Typologies &amp; red flags'!$A$5:$A$20,A6,'Typologies &amp; red flags'!$C$5:$C$20,"Oui")</f>
        <v>0</v>
      </c>
      <c r="C6" s="9" t="str">
        <f aca="false">IF(B6&gt;=6,"ALERTE ÉLEVÉE",IF(B6&gt;=3,"À SURVEILLER",IF(B6&gt;=1,"FAIBLE","NORMAL")))</f>
        <v>NORMAL</v>
      </c>
    </row>
    <row r="7" customFormat="false" ht="15" hidden="false" customHeight="false" outlineLevel="0" collapsed="false">
      <c r="A7" s="8" t="s">
        <v>17</v>
      </c>
      <c r="B7" s="9" t="n">
        <f aca="false">SUMIFS('Typologies &amp; red flags'!$D$5:$D$20,'Typologies &amp; red flags'!$A$5:$A$20,A7,'Typologies &amp; red flags'!$C$5:$C$20,"Oui")</f>
        <v>0</v>
      </c>
      <c r="C7" s="9" t="str">
        <f aca="false">IF(B7&gt;=6,"ALERTE ÉLEVÉE",IF(B7&gt;=3,"À SURVEILLER",IF(B7&gt;=1,"FAIBLE","NORMAL")))</f>
        <v>NORMAL</v>
      </c>
    </row>
    <row r="8" customFormat="false" ht="15" hidden="false" customHeight="false" outlineLevel="0" collapsed="false">
      <c r="A8" s="8" t="s">
        <v>22</v>
      </c>
      <c r="B8" s="9" t="n">
        <f aca="false">SUMIFS('Typologies &amp; red flags'!$D$5:$D$20,'Typologies &amp; red flags'!$A$5:$A$20,A8,'Typologies &amp; red flags'!$C$5:$C$20,"Oui")</f>
        <v>0</v>
      </c>
      <c r="C8" s="9" t="str">
        <f aca="false">IF(B8&gt;=6,"ALERTE ÉLEVÉE",IF(B8&gt;=3,"À SURVEILLER",IF(B8&gt;=1,"FAIBLE","NORMAL")))</f>
        <v>NORMAL</v>
      </c>
    </row>
    <row r="9" customFormat="false" ht="15" hidden="false" customHeight="false" outlineLevel="0" collapsed="false">
      <c r="A9" s="10" t="s">
        <v>32</v>
      </c>
      <c r="B9" s="9" t="n">
        <f aca="false">SUM(B5:B8)</f>
        <v>0</v>
      </c>
      <c r="C9" s="11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2026-09-09T22:45:01Z</dcterms:created>
  <dc:creator>openpyxl</dc:creator>
  <dc:description/>
  <dc:language>fr-FR</dc:language>
  <cp:lastModifiedBy/>
  <dcterms:modified xsi:type="dcterms:W3CDTF">2026-09-09T22:45:01Z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