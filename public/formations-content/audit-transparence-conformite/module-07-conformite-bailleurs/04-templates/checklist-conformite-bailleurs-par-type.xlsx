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hecklist" sheetId="1" state="visible" r:id="rId3"/>
    <sheet name="Tableau de bor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<sst xmlns="http://schemas.openxmlformats.org/spreadsheetml/2006/main" count="106" uniqueCount="78">
  <si>
    <t xml:space="preserve">CHECKLIST DE CONFORMITE BAILLEURS PAR TYPE</t>
  </si>
  <si>
    <t xml:space="preserve">Formation en Audit, Transparence et Conformite des ONGs - Module 07 - BK-BOOST Ltd.</t>
  </si>
  <si>
    <t xml:space="preserve">Categorie / bailleur</t>
  </si>
  <si>
    <t xml:space="preserve">Point de conformite a verifier</t>
  </si>
  <si>
    <t xml:space="preserve">Reference reglementaire</t>
  </si>
  <si>
    <t xml:space="preserve">Statut</t>
  </si>
  <si>
    <t xml:space="preserve">Preuve documentaire</t>
  </si>
  <si>
    <t xml:space="preserve">Derniere verification</t>
  </si>
  <si>
    <t xml:space="preserve">Commentaire</t>
  </si>
  <si>
    <t xml:space="preserve">1. USAID / BHA (2 CFR 200)</t>
  </si>
  <si>
    <t xml:space="preserve">Origine et nationalite des biens/services verifiees avant commande</t>
  </si>
  <si>
    <t xml:space="preserve">2 CFR 200.317-327 + ADS 310 (regles source/origin)</t>
  </si>
  <si>
    <t xml:space="preserve">Conforme</t>
  </si>
  <si>
    <t xml:space="preserve">Certificat d'origine fournisseur</t>
  </si>
  <si>
    <t xml:space="preserve">Seuil de mise en concurrence respecte selon le montant (micro-purchase / simplified acquisition)</t>
  </si>
  <si>
    <t xml:space="preserve">2 CFR 200.320</t>
  </si>
  <si>
    <t xml:space="preserve">Grille de cotation / PV comite achats</t>
  </si>
  <si>
    <t xml:space="preserve">Fournisseur verifie sur les listes d'exclusion (SAM.gov / EPLS) avant tout engagement</t>
  </si>
  <si>
    <t xml:space="preserve">2 CFR 200.213 - Exclusion verification</t>
  </si>
  <si>
    <t xml:space="preserve">A verifier</t>
  </si>
  <si>
    <t xml:space="preserve">Capture d'ecran verification SAM.gov</t>
  </si>
  <si>
    <t xml:space="preserve">A refaire avant signature</t>
  </si>
  <si>
    <t xml:space="preserve">Couts indirects/administratifs imputes selon taux NICRA approuve ou taux de minimis 10%</t>
  </si>
  <si>
    <t xml:space="preserve">2 CFR 200.414</t>
  </si>
  <si>
    <t xml:space="preserve">Accord NICRA ou lettre taux de minimis</t>
  </si>
  <si>
    <t xml:space="preserve">Achat de vehicule ou equipement lourd valide au prealable avec l'agreement officer</t>
  </si>
  <si>
    <t xml:space="preserve">2 CFR 200.439 + clause specifique de l'accord</t>
  </si>
  <si>
    <t xml:space="preserve">Non applicable</t>
  </si>
  <si>
    <t xml:space="preserve">Autorisation ecrite du bailleur</t>
  </si>
  <si>
    <t xml:space="preserve">Aucun achat de ce type ce trimestre</t>
  </si>
  <si>
    <t xml:space="preserve">Marquage et visibilite USAID appliques sur le materiel et les sites de distribution</t>
  </si>
  <si>
    <t xml:space="preserve">ADS 320 - Marking and branding</t>
  </si>
  <si>
    <t xml:space="preserve">Photos de marquage horodatees</t>
  </si>
  <si>
    <t xml:space="preserve">2. Union Europeenne / ECHO (PRAG)</t>
  </si>
  <si>
    <t xml:space="preserve">Regle de nationalite/origine des biens verifiee (pays eligibles au contrat)</t>
  </si>
  <si>
    <t xml:space="preserve">PRAG - Guide pratique, annexe eligibilite</t>
  </si>
  <si>
    <t xml:space="preserve">Declaration d'origine + facture pro forma</t>
  </si>
  <si>
    <t xml:space="preserve">Seuils PRAG de mise en concurrence respectes selon le montant du marche</t>
  </si>
  <si>
    <t xml:space="preserve">PRAG - grille des seuils par montant</t>
  </si>
  <si>
    <t xml:space="preserve">Non conforme</t>
  </si>
  <si>
    <t xml:space="preserve">Grille de cotation</t>
  </si>
  <si>
    <t xml:space="preserve">Une seule offre recue, a corriger</t>
  </si>
  <si>
    <t xml:space="preserve">Dossier d'appel d'offres conforme aux modeles contractuels PRAG (annexes standard)</t>
  </si>
  <si>
    <t xml:space="preserve">PRAG - annexes contractuelles types</t>
  </si>
  <si>
    <t xml:space="preserve">Dossier AO complet</t>
  </si>
  <si>
    <t xml:space="preserve">Charte de visibilite humanitaire ECHO appliquee sur communication et materiel</t>
  </si>
  <si>
    <t xml:space="preserve">ECHO Visibility Guidelines</t>
  </si>
  <si>
    <t xml:space="preserve">Photos + supports de communication</t>
  </si>
  <si>
    <t xml:space="preserve">Rapport intermediaire/final soumis dans les delais via le Single Form</t>
  </si>
  <si>
    <t xml:space="preserve">ECHO Single Form - echeancier contractuel</t>
  </si>
  <si>
    <t xml:space="preserve">Accuse de reception Single Form</t>
  </si>
  <si>
    <t xml:space="preserve">3. Bailleurs onusiens (PCA/FPA)</t>
  </si>
  <si>
    <t xml:space="preserve">Accord de partenariat (PCA/FPA) a jour et signe avant demarrage des activites</t>
  </si>
  <si>
    <t xml:space="preserve">Partnership Agreement / FPA - clause de demarrage</t>
  </si>
  <si>
    <t xml:space="preserve">PCA/FPA signe</t>
  </si>
  <si>
    <t xml:space="preserve">Procedures d'achat conformes au seuil defini dans l'accord de partenariat</t>
  </si>
  <si>
    <t xml:space="preserve">PCA/FPA - annexe procurement</t>
  </si>
  <si>
    <t xml:space="preserve">Grille de cotation alignee sur seuil FPA</t>
  </si>
  <si>
    <t xml:space="preserve">Rapportage financier conforme au format et a la periodicite exiges par l'agence</t>
  </si>
  <si>
    <t xml:space="preserve">PCA/FPA - clause reporting financier</t>
  </si>
  <si>
    <t xml:space="preserve">Gabarit de rapport financier agence</t>
  </si>
  <si>
    <t xml:space="preserve">Verification anti-terrorisme / due diligence partenaire a jour</t>
  </si>
  <si>
    <t xml:space="preserve">UN due diligence / vetting policy</t>
  </si>
  <si>
    <t xml:space="preserve">Formulaire de vetting complete</t>
  </si>
  <si>
    <t xml:space="preserve">Clause d'audit et droit de verification de l'agence connue de l'equipe finance</t>
  </si>
  <si>
    <t xml:space="preserve">PCA/FPA - clause audit rights</t>
  </si>
  <si>
    <t xml:space="preserve">Note interne de diffusion de la clause</t>
  </si>
  <si>
    <t xml:space="preserve">Cette checklist se consulte AVANT tout achat ou depense significative, pas seulement en preparation d'un audit. Dupliquez la ligne si un point de conformite ne s'applique qu'a un projet specifique multi-bailleurs.</t>
  </si>
  <si>
    <t xml:space="preserve">TABLEAU DE BORD - CONFORMITE PAR TYPE DE BAILLEUR</t>
  </si>
  <si>
    <t xml:space="preserve">Calcule automatiquement a partir de l'onglet Checklist</t>
  </si>
  <si>
    <t xml:space="preserve">Type de bailleur</t>
  </si>
  <si>
    <t xml:space="preserve">Points applicables</t>
  </si>
  <si>
    <t xml:space="preserve">Points conformes</t>
  </si>
  <si>
    <t xml:space="preserve">% conforme</t>
  </si>
  <si>
    <t xml:space="preserve">Points non conformes</t>
  </si>
  <si>
    <t xml:space="preserve">Statut global</t>
  </si>
  <si>
    <t xml:space="preserve">TOTAL GENERAL</t>
  </si>
  <si>
    <t xml:space="preserve">Un type de bailleur passe automatiquement en "NON-CONFORME - ACTION REQUISE" des qu'au moins un point y est marque "Non conforme" dans l'onglet Checklist.</t>
  </si>
</sst>
</file>

<file path=xl/styles.xml><?xml version="1.0" encoding="utf-8"?>
<styleSheet xmlns="http://schemas.openxmlformats.org/spreadsheetml/2006/main">
  <numFmts count="3">
    <numFmt numFmtId="164" formatCode="General"/>
    <numFmt numFmtId="165" formatCode="yyyy\-mm\-dd"/>
    <numFmt numFmtId="166" formatCode="0\ %"/>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sz val="9"/>
      <color rgb="FF6B7280"/>
      <name val="Calibri"/>
      <family val="0"/>
      <charset val="1"/>
    </font>
    <font>
      <b val="true"/>
      <sz val="10"/>
      <color rgb="FFFFFFFF"/>
      <name val="Calibri"/>
      <family val="0"/>
      <charset val="1"/>
    </font>
    <font>
      <sz val="11"/>
      <name val="Calibri"/>
      <family val="0"/>
      <charset val="1"/>
    </font>
    <font>
      <i val="true"/>
      <sz val="9"/>
      <color rgb="FF6B7280"/>
      <name val="Calibri"/>
      <family val="0"/>
      <charset val="1"/>
    </font>
    <font>
      <b val="true"/>
      <sz val="11"/>
      <name val="Calibri"/>
      <family val="0"/>
      <charset val="1"/>
    </font>
  </fonts>
  <fills count="5">
    <fill>
      <patternFill patternType="none"/>
    </fill>
    <fill>
      <patternFill patternType="gray125"/>
    </fill>
    <fill>
      <patternFill patternType="solid">
        <fgColor rgb="FF1E3A8A"/>
        <bgColor rgb="FF003366"/>
      </patternFill>
    </fill>
    <fill>
      <patternFill patternType="solid">
        <fgColor rgb="FF047857"/>
        <bgColor rgb="FF065F46"/>
      </patternFill>
    </fill>
    <fill>
      <patternFill patternType="solid">
        <fgColor rgb="FFECFDF5"/>
        <bgColor rgb="FFFFFF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5" fontId="7" fillId="4"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065F46"/>
      </font>
      <fill>
        <patternFill>
          <bgColor rgb="FFD1FAE5"/>
        </patternFill>
      </fill>
    </dxf>
    <dxf>
      <font>
        <b val="1"/>
        <color rgb="FF92400E"/>
      </font>
      <fill>
        <patternFill>
          <bgColor rgb="FFFEF3C7"/>
        </patternFill>
      </fill>
    </dxf>
    <dxf>
      <font>
        <b val="1"/>
        <color rgb="FF991B1B"/>
      </font>
      <fill>
        <patternFill>
          <bgColor rgb="FFFEE2E2"/>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47857"/>
      <rgbColor rgb="FFC0C0C0"/>
      <rgbColor rgb="FF808080"/>
      <rgbColor rgb="FF9999FF"/>
      <rgbColor rgb="FF993366"/>
      <rgbColor rgb="FFFEF3C7"/>
      <rgbColor rgb="FFECFDF5"/>
      <rgbColor rgb="FF660066"/>
      <rgbColor rgb="FFFF8080"/>
      <rgbColor rgb="FF0066CC"/>
      <rgbColor rgb="FFD1D5DB"/>
      <rgbColor rgb="FF000080"/>
      <rgbColor rgb="FFFF00FF"/>
      <rgbColor rgb="FFFFFF00"/>
      <rgbColor rgb="FF00FFFF"/>
      <rgbColor rgb="FF800080"/>
      <rgbColor rgb="FF800000"/>
      <rgbColor rgb="FF065F46"/>
      <rgbColor rgb="FF0000FF"/>
      <rgbColor rgb="FF00CCFF"/>
      <rgbColor rgb="FFCCFFFF"/>
      <rgbColor rgb="FFD1FAE5"/>
      <rgbColor rgb="FFFFFF99"/>
      <rgbColor rgb="FF99CCFF"/>
      <rgbColor rgb="FFFF99CC"/>
      <rgbColor rgb="FFCC99FF"/>
      <rgbColor rgb="FFFEE2E2"/>
      <rgbColor rgb="FF3366FF"/>
      <rgbColor rgb="FF33CCCC"/>
      <rgbColor rgb="FF99CC00"/>
      <rgbColor rgb="FFFFCC00"/>
      <rgbColor rgb="FFFF9900"/>
      <rgbColor rgb="FFFF6600"/>
      <rgbColor rgb="FF6B7280"/>
      <rgbColor rgb="FF969696"/>
      <rgbColor rgb="FF003366"/>
      <rgbColor rgb="FF339966"/>
      <rgbColor rgb="FF003300"/>
      <rgbColor rgb="FF333300"/>
      <rgbColor rgb="FF92400E"/>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30"/>
    <col collapsed="false" customWidth="true" hidden="false" outlineLevel="0" max="4" min="4" style="0" width="14"/>
    <col collapsed="false" customWidth="true" hidden="false" outlineLevel="0" max="5" min="5" style="0" width="30"/>
    <col collapsed="false" customWidth="true" hidden="false" outlineLevel="0" max="6" min="6" style="0" width="16"/>
    <col collapsed="false" customWidth="true" hidden="false" outlineLevel="0" max="7" min="7" style="0" width="30"/>
  </cols>
  <sheetData>
    <row r="1" customFormat="false" ht="25.5" hidden="false" customHeight="true" outlineLevel="0" collapsed="false">
      <c r="A1" s="1" t="s">
        <v>0</v>
      </c>
      <c r="B1" s="1"/>
      <c r="C1" s="1"/>
      <c r="D1" s="1"/>
      <c r="E1" s="1"/>
      <c r="F1" s="1"/>
      <c r="G1" s="1"/>
    </row>
    <row r="2" customFormat="false" ht="15.75" hidden="false" customHeight="true" outlineLevel="0" collapsed="false">
      <c r="A2" s="2" t="s">
        <v>1</v>
      </c>
      <c r="B2" s="2"/>
      <c r="C2" s="2"/>
      <c r="D2" s="2"/>
      <c r="E2" s="2"/>
      <c r="F2" s="2"/>
      <c r="G2" s="2"/>
    </row>
    <row r="4" customFormat="false" ht="30" hidden="false" customHeight="true" outlineLevel="0" collapsed="false">
      <c r="A4" s="3" t="s">
        <v>2</v>
      </c>
      <c r="B4" s="3" t="s">
        <v>3</v>
      </c>
      <c r="C4" s="3" t="s">
        <v>4</v>
      </c>
      <c r="D4" s="3" t="s">
        <v>5</v>
      </c>
      <c r="E4" s="3" t="s">
        <v>6</v>
      </c>
      <c r="F4" s="3" t="s">
        <v>7</v>
      </c>
      <c r="G4" s="3" t="s">
        <v>8</v>
      </c>
    </row>
    <row r="5" customFormat="false" ht="25" hidden="false" customHeight="false" outlineLevel="0" collapsed="false">
      <c r="A5" s="4" t="s">
        <v>9</v>
      </c>
      <c r="B5" s="5" t="s">
        <v>10</v>
      </c>
      <c r="C5" s="5" t="s">
        <v>11</v>
      </c>
      <c r="D5" s="4" t="s">
        <v>12</v>
      </c>
      <c r="E5" s="5" t="s">
        <v>13</v>
      </c>
      <c r="F5" s="6" t="n">
        <v>46246</v>
      </c>
      <c r="G5" s="5"/>
    </row>
    <row r="6" customFormat="false" ht="25" hidden="false" customHeight="false" outlineLevel="0" collapsed="false">
      <c r="A6" s="7" t="s">
        <v>9</v>
      </c>
      <c r="B6" s="8" t="s">
        <v>14</v>
      </c>
      <c r="C6" s="8" t="s">
        <v>15</v>
      </c>
      <c r="D6" s="7" t="s">
        <v>12</v>
      </c>
      <c r="E6" s="8" t="s">
        <v>16</v>
      </c>
      <c r="F6" s="9" t="n">
        <v>46246</v>
      </c>
      <c r="G6" s="8"/>
    </row>
    <row r="7" customFormat="false" ht="25" hidden="false" customHeight="false" outlineLevel="0" collapsed="false">
      <c r="A7" s="4" t="s">
        <v>9</v>
      </c>
      <c r="B7" s="5" t="s">
        <v>17</v>
      </c>
      <c r="C7" s="5" t="s">
        <v>18</v>
      </c>
      <c r="D7" s="4" t="s">
        <v>19</v>
      </c>
      <c r="E7" s="5" t="s">
        <v>20</v>
      </c>
      <c r="F7" s="6" t="n">
        <v>46233</v>
      </c>
      <c r="G7" s="5" t="s">
        <v>21</v>
      </c>
    </row>
    <row r="8" customFormat="false" ht="25" hidden="false" customHeight="false" outlineLevel="0" collapsed="false">
      <c r="A8" s="7" t="s">
        <v>9</v>
      </c>
      <c r="B8" s="8" t="s">
        <v>22</v>
      </c>
      <c r="C8" s="8" t="s">
        <v>23</v>
      </c>
      <c r="D8" s="7" t="s">
        <v>12</v>
      </c>
      <c r="E8" s="8" t="s">
        <v>24</v>
      </c>
      <c r="F8" s="9" t="n">
        <v>46188</v>
      </c>
      <c r="G8" s="8"/>
    </row>
    <row r="9" customFormat="false" ht="25" hidden="false" customHeight="false" outlineLevel="0" collapsed="false">
      <c r="A9" s="4" t="s">
        <v>9</v>
      </c>
      <c r="B9" s="5" t="s">
        <v>25</v>
      </c>
      <c r="C9" s="5" t="s">
        <v>26</v>
      </c>
      <c r="D9" s="4" t="s">
        <v>27</v>
      </c>
      <c r="E9" s="5" t="s">
        <v>28</v>
      </c>
      <c r="F9" s="4"/>
      <c r="G9" s="5" t="s">
        <v>29</v>
      </c>
    </row>
    <row r="10" customFormat="false" ht="25" hidden="false" customHeight="false" outlineLevel="0" collapsed="false">
      <c r="A10" s="7" t="s">
        <v>9</v>
      </c>
      <c r="B10" s="8" t="s">
        <v>30</v>
      </c>
      <c r="C10" s="8" t="s">
        <v>31</v>
      </c>
      <c r="D10" s="7" t="s">
        <v>12</v>
      </c>
      <c r="E10" s="8" t="s">
        <v>32</v>
      </c>
      <c r="F10" s="9" t="n">
        <v>46254</v>
      </c>
      <c r="G10" s="8"/>
    </row>
    <row r="11" customFormat="false" ht="25" hidden="false" customHeight="false" outlineLevel="0" collapsed="false">
      <c r="A11" s="4" t="s">
        <v>33</v>
      </c>
      <c r="B11" s="5" t="s">
        <v>34</v>
      </c>
      <c r="C11" s="5" t="s">
        <v>35</v>
      </c>
      <c r="D11" s="4" t="s">
        <v>12</v>
      </c>
      <c r="E11" s="5" t="s">
        <v>36</v>
      </c>
      <c r="F11" s="6" t="n">
        <v>46239</v>
      </c>
      <c r="G11" s="5"/>
    </row>
    <row r="12" customFormat="false" ht="25" hidden="false" customHeight="false" outlineLevel="0" collapsed="false">
      <c r="A12" s="7" t="s">
        <v>33</v>
      </c>
      <c r="B12" s="8" t="s">
        <v>37</v>
      </c>
      <c r="C12" s="8" t="s">
        <v>38</v>
      </c>
      <c r="D12" s="7" t="s">
        <v>39</v>
      </c>
      <c r="E12" s="8" t="s">
        <v>40</v>
      </c>
      <c r="F12" s="9" t="n">
        <v>46225</v>
      </c>
      <c r="G12" s="8" t="s">
        <v>41</v>
      </c>
    </row>
    <row r="13" customFormat="false" ht="25" hidden="false" customHeight="false" outlineLevel="0" collapsed="false">
      <c r="A13" s="4" t="s">
        <v>33</v>
      </c>
      <c r="B13" s="5" t="s">
        <v>42</v>
      </c>
      <c r="C13" s="5" t="s">
        <v>43</v>
      </c>
      <c r="D13" s="4" t="s">
        <v>12</v>
      </c>
      <c r="E13" s="5" t="s">
        <v>44</v>
      </c>
      <c r="F13" s="6" t="n">
        <v>46225</v>
      </c>
      <c r="G13" s="5"/>
    </row>
    <row r="14" customFormat="false" ht="25" hidden="false" customHeight="false" outlineLevel="0" collapsed="false">
      <c r="A14" s="7" t="s">
        <v>33</v>
      </c>
      <c r="B14" s="8" t="s">
        <v>45</v>
      </c>
      <c r="C14" s="8" t="s">
        <v>46</v>
      </c>
      <c r="D14" s="7" t="s">
        <v>19</v>
      </c>
      <c r="E14" s="8" t="s">
        <v>47</v>
      </c>
      <c r="F14" s="9" t="n">
        <v>46203</v>
      </c>
      <c r="G14" s="8"/>
    </row>
    <row r="15" customFormat="false" ht="25" hidden="false" customHeight="false" outlineLevel="0" collapsed="false">
      <c r="A15" s="4" t="s">
        <v>33</v>
      </c>
      <c r="B15" s="5" t="s">
        <v>48</v>
      </c>
      <c r="C15" s="5" t="s">
        <v>49</v>
      </c>
      <c r="D15" s="4" t="s">
        <v>12</v>
      </c>
      <c r="E15" s="5" t="s">
        <v>50</v>
      </c>
      <c r="F15" s="6" t="n">
        <v>46235</v>
      </c>
      <c r="G15" s="5"/>
    </row>
    <row r="16" customFormat="false" ht="25" hidden="false" customHeight="false" outlineLevel="0" collapsed="false">
      <c r="A16" s="7" t="s">
        <v>51</v>
      </c>
      <c r="B16" s="8" t="s">
        <v>52</v>
      </c>
      <c r="C16" s="8" t="s">
        <v>53</v>
      </c>
      <c r="D16" s="7" t="s">
        <v>12</v>
      </c>
      <c r="E16" s="8" t="s">
        <v>54</v>
      </c>
      <c r="F16" s="9" t="n">
        <v>46152</v>
      </c>
      <c r="G16" s="8"/>
    </row>
    <row r="17" customFormat="false" ht="25" hidden="false" customHeight="false" outlineLevel="0" collapsed="false">
      <c r="A17" s="4" t="s">
        <v>51</v>
      </c>
      <c r="B17" s="5" t="s">
        <v>55</v>
      </c>
      <c r="C17" s="5" t="s">
        <v>56</v>
      </c>
      <c r="D17" s="4" t="s">
        <v>12</v>
      </c>
      <c r="E17" s="5" t="s">
        <v>57</v>
      </c>
      <c r="F17" s="6" t="n">
        <v>46236</v>
      </c>
      <c r="G17" s="5"/>
    </row>
    <row r="18" customFormat="false" ht="25" hidden="false" customHeight="false" outlineLevel="0" collapsed="false">
      <c r="A18" s="7" t="s">
        <v>51</v>
      </c>
      <c r="B18" s="8" t="s">
        <v>58</v>
      </c>
      <c r="C18" s="8" t="s">
        <v>59</v>
      </c>
      <c r="D18" s="7" t="s">
        <v>19</v>
      </c>
      <c r="E18" s="8" t="s">
        <v>60</v>
      </c>
      <c r="F18" s="9" t="n">
        <v>46218</v>
      </c>
      <c r="G18" s="8"/>
    </row>
    <row r="19" customFormat="false" ht="25" hidden="false" customHeight="false" outlineLevel="0" collapsed="false">
      <c r="A19" s="4" t="s">
        <v>51</v>
      </c>
      <c r="B19" s="5" t="s">
        <v>61</v>
      </c>
      <c r="C19" s="5" t="s">
        <v>62</v>
      </c>
      <c r="D19" s="4" t="s">
        <v>12</v>
      </c>
      <c r="E19" s="5" t="s">
        <v>63</v>
      </c>
      <c r="F19" s="6" t="n">
        <v>46174</v>
      </c>
      <c r="G19" s="5"/>
    </row>
    <row r="20" customFormat="false" ht="25" hidden="false" customHeight="false" outlineLevel="0" collapsed="false">
      <c r="A20" s="7" t="s">
        <v>51</v>
      </c>
      <c r="B20" s="8" t="s">
        <v>64</v>
      </c>
      <c r="C20" s="8" t="s">
        <v>65</v>
      </c>
      <c r="D20" s="7" t="s">
        <v>12</v>
      </c>
      <c r="E20" s="8" t="s">
        <v>66</v>
      </c>
      <c r="F20" s="9" t="n">
        <v>46162</v>
      </c>
      <c r="G20" s="8"/>
    </row>
    <row r="22" customFormat="false" ht="15" hidden="false" customHeight="false" outlineLevel="0" collapsed="false">
      <c r="A22" s="10" t="s">
        <v>67</v>
      </c>
      <c r="B22" s="10"/>
      <c r="C22" s="10"/>
      <c r="D22" s="10"/>
      <c r="E22" s="10"/>
      <c r="F22" s="10"/>
      <c r="G22" s="10"/>
    </row>
  </sheetData>
  <mergeCells count="3">
    <mergeCell ref="A1:G1"/>
    <mergeCell ref="A2:G2"/>
    <mergeCell ref="A22:G22"/>
  </mergeCells>
  <conditionalFormatting sqref="D5:D20">
    <cfRule type="cellIs" priority="2" operator="equal" aboveAverage="0" equalAverage="0" bottom="0" percent="0" rank="0" text="" dxfId="0">
      <formula>"Conforme"</formula>
    </cfRule>
    <cfRule type="cellIs" priority="3" operator="equal" aboveAverage="0" equalAverage="0" bottom="0" percent="0" rank="0" text="" dxfId="1">
      <formula>"A verifier"</formula>
    </cfRule>
    <cfRule type="cellIs" priority="4" operator="equal" aboveAverage="0" equalAverage="0" bottom="0" percent="0" rank="0" text="" dxfId="2">
      <formula>"Non conforme"</formula>
    </cfRule>
  </conditionalFormatting>
  <dataValidations count="1">
    <dataValidation allowBlank="true" errorStyle="stop" operator="between" showDropDown="false" showErrorMessage="false" showInputMessage="false" sqref="D5:D30" type="list">
      <formula1>"Conforme,A verifier,Non conforme,Non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22"/>
    <col collapsed="false" customWidth="true" hidden="false" outlineLevel="0" max="4" min="4" style="0" width="14"/>
    <col collapsed="false" customWidth="true" hidden="false" outlineLevel="0" max="5" min="5" style="0" width="22"/>
    <col collapsed="false" customWidth="true" hidden="false" outlineLevel="0" max="6" min="6" style="0" width="20"/>
  </cols>
  <sheetData>
    <row r="1" customFormat="false" ht="25.5" hidden="false" customHeight="true" outlineLevel="0" collapsed="false">
      <c r="A1" s="1" t="s">
        <v>68</v>
      </c>
      <c r="B1" s="1"/>
      <c r="C1" s="1"/>
      <c r="D1" s="1"/>
      <c r="E1" s="1"/>
      <c r="F1" s="1"/>
    </row>
    <row r="2" customFormat="false" ht="15.75" hidden="false" customHeight="true" outlineLevel="0" collapsed="false">
      <c r="A2" s="2" t="s">
        <v>69</v>
      </c>
      <c r="B2" s="2"/>
      <c r="C2" s="2"/>
      <c r="D2" s="2"/>
      <c r="E2" s="2"/>
      <c r="F2" s="2"/>
    </row>
    <row r="4" customFormat="false" ht="30" hidden="false" customHeight="true" outlineLevel="0" collapsed="false">
      <c r="A4" s="3" t="s">
        <v>70</v>
      </c>
      <c r="B4" s="3" t="s">
        <v>71</v>
      </c>
      <c r="C4" s="3" t="s">
        <v>72</v>
      </c>
      <c r="D4" s="3" t="s">
        <v>73</v>
      </c>
      <c r="E4" s="3" t="s">
        <v>74</v>
      </c>
      <c r="F4" s="3" t="s">
        <v>75</v>
      </c>
    </row>
    <row r="5" customFormat="false" ht="15" hidden="false" customHeight="false" outlineLevel="0" collapsed="false">
      <c r="A5" s="11" t="s">
        <v>9</v>
      </c>
      <c r="B5" s="11" t="n">
        <f aca="false">COUNTIFS(Checklist!$A$5:$A$20,A5,Checklist!$D$5:$D$20,"&lt;&gt;Non applicable")</f>
        <v>5</v>
      </c>
      <c r="C5" s="11" t="n">
        <f aca="false">COUNTIFS(Checklist!$A$5:$A$20,A5,Checklist!$D$5:$D$20,"Conforme")</f>
        <v>4</v>
      </c>
      <c r="D5" s="12" t="n">
        <f aca="false">IF(B5=0,"",C5/B5)</f>
        <v>0.8</v>
      </c>
      <c r="E5" s="11" t="n">
        <f aca="false">COUNTIFS(Checklist!$A$5:$A$20,A5,Checklist!$D$5:$D$20,"Non conforme")</f>
        <v>0</v>
      </c>
      <c r="F5" s="11" t="str">
        <f aca="false">IF(B5=0,"-",IF(D5=1,"Conforme",IF(E5&gt;0,"NON-CONFORME - ACTION REQUISE","En cours")))</f>
        <v>En cours</v>
      </c>
    </row>
    <row r="6" customFormat="false" ht="15" hidden="false" customHeight="false" outlineLevel="0" collapsed="false">
      <c r="A6" s="13" t="s">
        <v>33</v>
      </c>
      <c r="B6" s="13" t="n">
        <f aca="false">COUNTIFS(Checklist!$A$5:$A$20,A6,Checklist!$D$5:$D$20,"&lt;&gt;Non applicable")</f>
        <v>5</v>
      </c>
      <c r="C6" s="13" t="n">
        <f aca="false">COUNTIFS(Checklist!$A$5:$A$20,A6,Checklist!$D$5:$D$20,"Conforme")</f>
        <v>3</v>
      </c>
      <c r="D6" s="14" t="n">
        <f aca="false">IF(B6=0,"",C6/B6)</f>
        <v>0.6</v>
      </c>
      <c r="E6" s="13" t="n">
        <f aca="false">COUNTIFS(Checklist!$A$5:$A$20,A6,Checklist!$D$5:$D$20,"Non conforme")</f>
        <v>1</v>
      </c>
      <c r="F6" s="13" t="str">
        <f aca="false">IF(B6=0,"-",IF(D6=1,"Conforme",IF(E6&gt;0,"NON-CONFORME - ACTION REQUISE","En cours")))</f>
        <v>NON-CONFORME - ACTION REQUISE</v>
      </c>
    </row>
    <row r="7" customFormat="false" ht="15" hidden="false" customHeight="false" outlineLevel="0" collapsed="false">
      <c r="A7" s="11" t="s">
        <v>51</v>
      </c>
      <c r="B7" s="11" t="n">
        <f aca="false">COUNTIFS(Checklist!$A$5:$A$20,A7,Checklist!$D$5:$D$20,"&lt;&gt;Non applicable")</f>
        <v>5</v>
      </c>
      <c r="C7" s="11" t="n">
        <f aca="false">COUNTIFS(Checklist!$A$5:$A$20,A7,Checklist!$D$5:$D$20,"Conforme")</f>
        <v>4</v>
      </c>
      <c r="D7" s="12" t="n">
        <f aca="false">IF(B7=0,"",C7/B7)</f>
        <v>0.8</v>
      </c>
      <c r="E7" s="11" t="n">
        <f aca="false">COUNTIFS(Checklist!$A$5:$A$20,A7,Checklist!$D$5:$D$20,"Non conforme")</f>
        <v>0</v>
      </c>
      <c r="F7" s="11" t="str">
        <f aca="false">IF(B7=0,"-",IF(D7=1,"Conforme",IF(E7&gt;0,"NON-CONFORME - ACTION REQUISE","En cours")))</f>
        <v>En cours</v>
      </c>
    </row>
    <row r="8" customFormat="false" ht="15" hidden="false" customHeight="false" outlineLevel="0" collapsed="false">
      <c r="A8" s="15" t="s">
        <v>76</v>
      </c>
      <c r="B8" s="15" t="n">
        <f aca="false">SUM(B5:B7)</f>
        <v>15</v>
      </c>
      <c r="C8" s="15" t="n">
        <f aca="false">SUM(C5:C7)</f>
        <v>11</v>
      </c>
      <c r="D8" s="16" t="n">
        <f aca="false">IF(B8=0,"",C8/B8)</f>
        <v>0.733333333333333</v>
      </c>
      <c r="E8" s="15" t="n">
        <f aca="false">SUM(E5:E7)</f>
        <v>1</v>
      </c>
      <c r="F8" s="15" t="str">
        <f aca="false">IF(D8=1,"Conforme",IF(E8&gt;0,"NON-CONFORME - ACTION REQUISE","En cours"))</f>
        <v>NON-CONFORME - ACTION REQUISE</v>
      </c>
    </row>
    <row r="10" customFormat="false" ht="15" hidden="false" customHeight="false" outlineLevel="0" collapsed="false">
      <c r="A10" s="10" t="s">
        <v>77</v>
      </c>
      <c r="B10" s="10"/>
      <c r="C10" s="10"/>
      <c r="D10" s="10"/>
      <c r="E10" s="10"/>
      <c r="F10" s="10"/>
    </row>
  </sheetData>
  <mergeCells count="3">
    <mergeCell ref="A1:F1"/>
    <mergeCell ref="A2:F2"/>
    <mergeCell ref="A10:F10"/>
  </mergeCells>
  <conditionalFormatting sqref="F5:F8">
    <cfRule type="cellIs" priority="2" operator="equal" aboveAverage="0" equalAverage="0" bottom="0" percent="0" rank="0" text="" dxfId="0">
      <formula>"Conforme"</formula>
    </cfRule>
    <cfRule type="cellIs" priority="3" operator="equal" aboveAverage="0" equalAverage="0" bottom="0" percent="0" rank="0" text="" dxfId="1">
      <formula>"En cours"</formula>
    </cfRule>
    <cfRule type="cellIs" priority="4" operator="equal" aboveAverage="0" equalAverage="0" bottom="0" percent="0" rank="0" text="" dxfId="2">
      <formula>"NON-CONFORME - ACTION REQUISE"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2026-09-09T22:43:25Z</dcterms:created>
  <dc:creator>openpyxl</dc:creator>
  <dc:description/>
  <dc:language>fr-FR</dc:language>
  <cp:lastModifiedBy/>
  <dcterms:modified xsi:type="dcterms:W3CDTF">2026-09-09T22:43:25Z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