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orisation" sheetId="1" state="visible" r:id="rId3"/>
    <sheet name="Barè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<sst xmlns="http://schemas.openxmlformats.org/spreadsheetml/2006/main" count="60" uniqueCount="56">
  <si>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GRILLE DE PRIORISATION DES RECOMMANDATIONS D'AUDIT</t>
  </si>
  <si>
    <t xml:space="preserve">Formation en Audit, Transparence et Conformité des ONGs — Module 08 — BK-BOOST Ltd. Score de priorité = Niveau de risque (1-5) x Facilité de mise en œuvre (1-5). Ne modifiez pas les colonnes E et F (formules).</t>
  </si>
  <si>
    <t xml:space="preserve">Réf. constat</t>
  </si>
  <si>
    <t xml:space="preserve">Recommandation</t>
  </si>
  <si>
    <t xml:space="preserve">Niveau de risque (1-5)</t>
  </si>
  <si>
    <t xml:space="preserve">Facilité de mise en œuvre (1-5)</t>
  </si>
  <si>
    <t xml:space="preserve">Score de priorité</t>
  </si>
  <si>
    <t xml:space="preserve">Priorité</t>
  </si>
  <si>
    <t xml:space="preserve">Responsable</t>
  </si>
  <si>
    <t xml:space="preserve">Échéance</t>
  </si>
  <si>
    <t xml:space="preserve">Statut</t>
  </si>
  <si>
    <t xml:space="preserve">C-01</t>
  </si>
  <si>
    <t xml:space="preserve">Formaliser un comité d'achat à quorum réduit (2 membres) pour les décisions urgentes, PV signé et archivé sous 48h.</t>
  </si>
  <si>
    <t xml:space="preserve">Log Manager de base</t>
  </si>
  <si>
    <t xml:space="preserve">2026-10-15</t>
  </si>
  <si>
    <t xml:space="preserve">En cours</t>
  </si>
  <si>
    <t xml:space="preserve">C-02</t>
  </si>
  <si>
    <t xml:space="preserve">Mettre en place une supervision croisée mensuelle de la paie (contresignature + pointage physique aléatoire).</t>
  </si>
  <si>
    <t xml:space="preserve">Coordinateur Terrain</t>
  </si>
  <si>
    <t xml:space="preserve">2026-09-30</t>
  </si>
  <si>
    <t xml:space="preserve">À faire</t>
  </si>
  <si>
    <t xml:space="preserve">C-03</t>
  </si>
  <si>
    <t xml:space="preserve">Actualiser le registre des risques de fraude de la base et le partager en réunion de coordination trimestrielle.</t>
  </si>
  <si>
    <t xml:space="preserve">Coordinateur Pays</t>
  </si>
  <si>
    <t xml:space="preserve">2026-11-30</t>
  </si>
  <si>
    <t xml:space="preserve">C-04</t>
  </si>
  <si>
    <t xml:space="preserve">Renforcer la séparation des tâches achats/réception sur la base (recrutement ou réaffectation à moyen terme).</t>
  </si>
  <si>
    <t xml:space="preserve">Coordinateur Logistique régional</t>
  </si>
  <si>
    <t xml:space="preserve">2027-01-31</t>
  </si>
  <si>
    <t xml:space="preserve">C-05</t>
  </si>
  <si>
    <t xml:space="preserve">Créer et diffuser un mécanisme de signalement (whistleblowing) accessible à l'ensemble du personnel, y compris journaliers.</t>
  </si>
  <si>
    <t xml:space="preserve">Direction Pays</t>
  </si>
  <si>
    <t xml:space="preserve">2027-02-28</t>
  </si>
  <si>
    <t xml:space="preserve">BARÈME DE PRIORISATION</t>
  </si>
  <si>
    <t xml:space="preserve">Échelle utilisée dans l'onglet Priorisation — Module 08, BK-BOOST Ltd.</t>
  </si>
  <si>
    <t xml:space="preserve">Niveau de risque (colonne C)</t>
  </si>
  <si>
    <t xml:space="preserve">Risque mineur — aucun impact financier, réputationnel ou de conformité significatif.</t>
  </si>
  <si>
    <t xml:space="preserve">Risque faible — impact limité, facilement absorbé par l'organisation.</t>
  </si>
  <si>
    <t xml:space="preserve">Risque modéré — impact réel mais circonscrit (une base, un cycle).</t>
  </si>
  <si>
    <t xml:space="preserve">Risque élevé — impact financier ou de conformité bailleur significatif.</t>
  </si>
  <si>
    <t xml:space="preserve">Risque critique — fraude avérée, sécurité du personnel, ou risque de perte d'accès bailleur.</t>
  </si>
  <si>
    <t xml:space="preserve">Facilité de mise en œuvre (colonne D)</t>
  </si>
  <si>
    <t xml:space="preserve">Très difficile — nécessite un changement structurel, un budget important ou un arbitrage siège.</t>
  </si>
  <si>
    <t xml:space="preserve">Difficile — ressources ou temps significatifs requis.</t>
  </si>
  <si>
    <t xml:space="preserve">Modérée — faisable avec les moyens de la base sous quelques semaines.</t>
  </si>
  <si>
    <t xml:space="preserve">Facile — correction procédurale rapide, coût faible ou nul.</t>
  </si>
  <si>
    <t xml:space="preserve">Très facile — peut être mise en œuvre en quelques jours, sans ressource additionnelle.</t>
  </si>
  <si>
    <t xml:space="preserve">15 - 25</t>
  </si>
  <si>
    <t xml:space="preserve">Prioritaire</t>
  </si>
  <si>
    <t xml:space="preserve">Quick win ou risque critique — traiter en premier, indépendamment du reste du rapport.</t>
  </si>
  <si>
    <t xml:space="preserve">8 - 14</t>
  </si>
  <si>
    <t xml:space="preserve">Moyenne</t>
  </si>
  <si>
    <t xml:space="preserve">À planifier dans le plan d'action, sans urgence absolue.</t>
  </si>
  <si>
    <t xml:space="preserve">1 - 7</t>
  </si>
  <si>
    <t xml:space="preserve">Faible</t>
  </si>
  <si>
    <t xml:space="preserve">À conserver en annexe de suivi, hors résumé exécutif.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</si>
</sst>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FAFAFA"/>
        <bgColor rgb="FFFFFFFF"/>
      </patternFill>
    </fill>
    <fill>
      <patternFill patternType="solid">
        <fgColor rgb="FFB45309"/>
        <bgColor rgb="FF993366"/>
      </patternFill>
    </fill>
    <fill>
      <patternFill patternType="solid">
        <fgColor rgb="FFFEF3C7"/>
        <bgColor rgb="FFFFFF99"/>
      </patternFill>
    </fill>
    <fill>
      <patternFill patternType="solid">
        <fgColor rgb="FFECFDF5"/>
        <bgColor rgb="FFFAFA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FFFFFF"/>
        <sz val="10"/>
      </font>
      <fill>
        <patternFill>
          <bgColor rgb="FFB45309"/>
        </patternFill>
      </fill>
    </dxf>
    <dxf>
      <fill>
        <patternFill>
          <bgColor rgb="FFFEF3C7"/>
        </patternFill>
      </fill>
    </dxf>
    <dxf>
      <fill>
        <patternFill>
          <bgColor rgb="FFECFD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0" hidden="false" customHeight="true" outlineLevel="0" collapsed="false">
      <c r="A5" s="4" t="s">
        <v>11</v>
      </c>
      <c r="B5" s="5" t="s">
        <v>12</v>
      </c>
      <c r="C5" s="4" t="n">
        <v>4</v>
      </c>
      <c r="D5" s="4" t="n">
        <v>4</v>
      </c>
      <c r="E5" s="4" t="n">
        <f aca="false">C5*D5</f>
        <v>16</v>
      </c>
      <c r="F5" s="4" t="str">
        <f aca="false">IF(OR(C5="",D5=""),"",IF(E5&gt;=15,"Prioritaire",IF(E5&gt;=8,"Moyenne","Faible")))</f>
        <v>Prioritaire</v>
      </c>
      <c r="G5" s="4" t="s">
        <v>13</v>
      </c>
      <c r="H5" s="4" t="s">
        <v>14</v>
      </c>
      <c r="I5" s="4" t="s">
        <v>15</v>
      </c>
    </row>
    <row r="6" customFormat="false" ht="30" hidden="false" customHeight="true" outlineLevel="0" collapsed="false">
      <c r="A6" s="6" t="s">
        <v>16</v>
      </c>
      <c r="B6" s="7" t="s">
        <v>17</v>
      </c>
      <c r="C6" s="6" t="n">
        <v>5</v>
      </c>
      <c r="D6" s="6" t="n">
        <v>4</v>
      </c>
      <c r="E6" s="6" t="n">
        <f aca="false">C6*D6</f>
        <v>20</v>
      </c>
      <c r="F6" s="6" t="str">
        <f aca="false">IF(OR(C6="",D6=""),"",IF(E6&gt;=15,"Prioritaire",IF(E6&gt;=8,"Moyenne","Faible")))</f>
        <v>Prioritaire</v>
      </c>
      <c r="G6" s="6" t="s">
        <v>18</v>
      </c>
      <c r="H6" s="6" t="s">
        <v>19</v>
      </c>
      <c r="I6" s="6" t="s">
        <v>20</v>
      </c>
    </row>
    <row r="7" customFormat="false" ht="30" hidden="false" customHeight="true" outlineLevel="0" collapsed="false">
      <c r="A7" s="4" t="s">
        <v>21</v>
      </c>
      <c r="B7" s="5" t="s">
        <v>22</v>
      </c>
      <c r="C7" s="4" t="n">
        <v>3</v>
      </c>
      <c r="D7" s="4" t="n">
        <v>5</v>
      </c>
      <c r="E7" s="4" t="n">
        <f aca="false">C7*D7</f>
        <v>15</v>
      </c>
      <c r="F7" s="4" t="str">
        <f aca="false">IF(OR(C7="",D7=""),"",IF(E7&gt;=15,"Prioritaire",IF(E7&gt;=8,"Moyenne","Faible")))</f>
        <v>Prioritaire</v>
      </c>
      <c r="G7" s="4" t="s">
        <v>23</v>
      </c>
      <c r="H7" s="4" t="s">
        <v>24</v>
      </c>
      <c r="I7" s="4" t="s">
        <v>20</v>
      </c>
    </row>
    <row r="8" customFormat="false" ht="30" hidden="false" customHeight="true" outlineLevel="0" collapsed="false">
      <c r="A8" s="6" t="s">
        <v>25</v>
      </c>
      <c r="B8" s="7" t="s">
        <v>26</v>
      </c>
      <c r="C8" s="6" t="n">
        <v>4</v>
      </c>
      <c r="D8" s="6" t="n">
        <v>2</v>
      </c>
      <c r="E8" s="6" t="n">
        <f aca="false">C8*D8</f>
        <v>8</v>
      </c>
      <c r="F8" s="6" t="str">
        <f aca="false">IF(OR(C8="",D8=""),"",IF(E8&gt;=15,"Prioritaire",IF(E8&gt;=8,"Moyenne","Faible")))</f>
        <v>Moyenne</v>
      </c>
      <c r="G8" s="6" t="s">
        <v>27</v>
      </c>
      <c r="H8" s="6" t="s">
        <v>28</v>
      </c>
      <c r="I8" s="6" t="s">
        <v>20</v>
      </c>
    </row>
    <row r="9" customFormat="false" ht="30" hidden="false" customHeight="true" outlineLevel="0" collapsed="false">
      <c r="A9" s="4" t="s">
        <v>29</v>
      </c>
      <c r="B9" s="5" t="s">
        <v>30</v>
      </c>
      <c r="C9" s="4" t="n">
        <v>3</v>
      </c>
      <c r="D9" s="4" t="n">
        <v>2</v>
      </c>
      <c r="E9" s="4" t="n">
        <f aca="false">C9*D9</f>
        <v>6</v>
      </c>
      <c r="F9" s="4" t="str">
        <f aca="false">IF(OR(C9="",D9=""),"",IF(E9&gt;=15,"Prioritaire",IF(E9&gt;=8,"Moyenne","Faible")))</f>
        <v>Faible</v>
      </c>
      <c r="G9" s="4" t="s">
        <v>31</v>
      </c>
      <c r="H9" s="4" t="s">
        <v>32</v>
      </c>
      <c r="I9" s="4" t="s">
        <v>20</v>
      </c>
    </row>
    <row r="10" customFormat="false" ht="30" hidden="false" customHeight="true" outlineLevel="0" collapsed="false">
      <c r="A10" s="6"/>
      <c r="B10" s="7"/>
      <c r="C10" s="6"/>
      <c r="D10" s="6"/>
      <c r="E10" s="6" t="str">
        <f aca="false">IF(OR(C10="",D10=""),"",C10*D10)</f>
        <v/>
      </c>
      <c r="F10" s="6" t="str">
        <f aca="false">IF(OR(C10="",D10=""),"",IF(E10&gt;=15,"Prioritaire",IF(E10&gt;=8,"Moyenne","Faible")))</f>
        <v/>
      </c>
      <c r="G10" s="6"/>
      <c r="H10" s="6"/>
      <c r="I10" s="6"/>
    </row>
    <row r="11" customFormat="false" ht="30" hidden="false" customHeight="true" outlineLevel="0" collapsed="false">
      <c r="A11" s="4"/>
      <c r="B11" s="5"/>
      <c r="C11" s="4"/>
      <c r="D11" s="4"/>
      <c r="E11" s="4" t="str">
        <f aca="false">IF(OR(C11="",D11=""),"",C11*D11)</f>
        <v/>
      </c>
      <c r="F11" s="4" t="str">
        <f aca="false">IF(OR(C11="",D11=""),"",IF(E11&gt;=15,"Prioritaire",IF(E11&gt;=8,"Moyenne","Faible")))</f>
        <v/>
      </c>
      <c r="G11" s="4"/>
      <c r="H11" s="4"/>
      <c r="I11" s="4"/>
    </row>
    <row r="12" customFormat="false" ht="30" hidden="false" customHeight="true" outlineLevel="0" collapsed="false">
      <c r="A12" s="6"/>
      <c r="B12" s="7"/>
      <c r="C12" s="6"/>
      <c r="D12" s="6"/>
      <c r="E12" s="6" t="str">
        <f aca="false">IF(OR(C12="",D12=""),"",C12*D12)</f>
        <v/>
      </c>
      <c r="F12" s="6" t="str">
        <f aca="false">IF(OR(C12="",D12=""),"",IF(E12&gt;=15,"Prioritaire",IF(E12&gt;=8,"Moyenne","Faible")))</f>
        <v/>
      </c>
      <c r="G12" s="6"/>
      <c r="H12" s="6"/>
      <c r="I12" s="6"/>
    </row>
    <row r="13" customFormat="false" ht="30" hidden="false" customHeight="true" outlineLevel="0" collapsed="false">
      <c r="A13" s="4"/>
      <c r="B13" s="5"/>
      <c r="C13" s="4"/>
      <c r="D13" s="4"/>
      <c r="E13" s="4" t="str">
        <f aca="false">IF(OR(C13="",D13=""),"",C13*D13)</f>
        <v/>
      </c>
      <c r="F13" s="4" t="str">
        <f aca="false">IF(OR(C13="",D13=""),"",IF(E13&gt;=15,"Prioritaire",IF(E13&gt;=8,"Moyenne","Faible")))</f>
        <v/>
      </c>
      <c r="G13" s="4"/>
      <c r="H13" s="4"/>
      <c r="I13" s="4"/>
    </row>
    <row r="14" customFormat="false" ht="30" hidden="false" customHeight="true" outlineLevel="0" collapsed="false">
      <c r="A14" s="6"/>
      <c r="B14" s="7"/>
      <c r="C14" s="6"/>
      <c r="D14" s="6"/>
      <c r="E14" s="6" t="str">
        <f aca="false">IF(OR(C14="",D14=""),"",C14*D14)</f>
        <v/>
      </c>
      <c r="F14" s="6" t="str">
        <f aca="false">IF(OR(C14="",D14=""),"",IF(E14&gt;=15,"Prioritaire",IF(E14&gt;=8,"Moyenne","Faible")))</f>
        <v/>
      </c>
      <c r="G14" s="6"/>
      <c r="H14" s="6"/>
      <c r="I14" s="6"/>
    </row>
    <row r="15" customFormat="false" ht="30" hidden="false" customHeight="true" outlineLevel="0" collapsed="false">
      <c r="A15" s="4"/>
      <c r="B15" s="5"/>
      <c r="C15" s="4"/>
      <c r="D15" s="4"/>
      <c r="E15" s="4" t="str">
        <f aca="false">IF(OR(C15="",D15=""),"",C15*D15)</f>
        <v/>
      </c>
      <c r="F15" s="4" t="str">
        <f aca="false">IF(OR(C15="",D15=""),"",IF(E15&gt;=15,"Prioritaire",IF(E15&gt;=8,"Moyenne","Faible")))</f>
        <v/>
      </c>
      <c r="G15" s="4"/>
      <c r="H15" s="4"/>
      <c r="I15" s="4"/>
    </row>
    <row r="16" customFormat="false" ht="30" hidden="false" customHeight="true" outlineLevel="0" collapsed="false">
      <c r="A16" s="6"/>
      <c r="B16" s="7"/>
      <c r="C16" s="6"/>
      <c r="D16" s="6"/>
      <c r="E16" s="6" t="str">
        <f aca="false">IF(OR(C16="",D16=""),"",C16*D16)</f>
        <v/>
      </c>
      <c r="F16" s="6" t="str">
        <f aca="false">IF(OR(C16="",D16=""),"",IF(E16&gt;=15,"Prioritaire",IF(E16&gt;=8,"Moyenne","Faible")))</f>
        <v/>
      </c>
      <c r="G16" s="6"/>
      <c r="H16" s="6"/>
      <c r="I16" s="6"/>
    </row>
    <row r="17" customFormat="false" ht="30" hidden="false" customHeight="true" outlineLevel="0" collapsed="false">
      <c r="A17" s="4"/>
      <c r="B17" s="5"/>
      <c r="C17" s="4"/>
      <c r="D17" s="4"/>
      <c r="E17" s="4" t="str">
        <f aca="false">IF(OR(C17="",D17=""),"",C17*D17)</f>
        <v/>
      </c>
      <c r="F17" s="4" t="str">
        <f aca="false">IF(OR(C17="",D17=""),"",IF(E17&gt;=15,"Prioritaire",IF(E17&gt;=8,"Moyenne","Faible")))</f>
        <v/>
      </c>
      <c r="G17" s="4"/>
      <c r="H17" s="4"/>
      <c r="I17" s="4"/>
    </row>
    <row r="18" customFormat="false" ht="30" hidden="false" customHeight="true" outlineLevel="0" collapsed="false">
      <c r="A18" s="6"/>
      <c r="B18" s="7"/>
      <c r="C18" s="6"/>
      <c r="D18" s="6"/>
      <c r="E18" s="6" t="str">
        <f aca="false">IF(OR(C18="",D18=""),"",C18*D18)</f>
        <v/>
      </c>
      <c r="F18" s="6" t="str">
        <f aca="false">IF(OR(C18="",D18=""),"",IF(E18&gt;=15,"Prioritaire",IF(E18&gt;=8,"Moyenne","Faible")))</f>
        <v/>
      </c>
      <c r="G18" s="6"/>
      <c r="H18" s="6"/>
      <c r="I18" s="6"/>
    </row>
    <row r="19" customFormat="false" ht="30" hidden="false" customHeight="true" outlineLevel="0" collapsed="false">
      <c r="A19" s="4"/>
      <c r="B19" s="5"/>
      <c r="C19" s="4"/>
      <c r="D19" s="4"/>
      <c r="E19" s="4" t="str">
        <f aca="false">IF(OR(C19="",D19=""),"",C19*D19)</f>
        <v/>
      </c>
      <c r="F19" s="4" t="str">
        <f aca="false">IF(OR(C19="",D19=""),"",IF(E19&gt;=15,"Prioritaire",IF(E19&gt;=8,"Moyenne","Faible")))</f>
        <v/>
      </c>
      <c r="G19" s="4"/>
      <c r="H19" s="4"/>
      <c r="I19" s="4"/>
    </row>
  </sheetData>
  <mergeCells count="2">
    <mergeCell ref="A1:H1"/>
    <mergeCell ref="A2:H2"/>
  </mergeCells>
  <conditionalFormatting sqref="A5:I19">
    <cfRule type="expression" priority="2" aboveAverage="0" equalAverage="0" bottom="0" percent="0" rank="0" text="" dxfId="0">
      <formula>$F5="Prioritaire"</formula>
    </cfRule>
    <cfRule type="expression" priority="3" aboveAverage="0" equalAverage="0" bottom="0" percent="0" rank="0" text="" dxfId="1">
      <formula>$F5="Moyenne"</formula>
    </cfRule>
    <cfRule type="expression" priority="4" aboveAverage="0" equalAverage="0" bottom="0" percent="0" rank="0" text="" dxfId="2">
      <formula>$F5="Faible"</formula>
    </cfRule>
  </conditionalFormatting>
  <dataValidations count="3">
    <dataValidation allowBlank="true" error="Entrez un entier entre 1 et 5." errorStyle="stop" errorTitle="Valeur invalide" operator="between" showDropDown="false" showErrorMessage="true" showInputMessage="false" sqref="C5:C19" type="whole">
      <formula1>1</formula1>
      <formula2>5</formula2>
    </dataValidation>
    <dataValidation allowBlank="true" error="Entrez un entier entre 1 et 5." errorStyle="stop" errorTitle="Valeur invalide" operator="between" showDropDown="false" showErrorMessage="true" showInputMessage="false" sqref="D5:D19" type="whole">
      <formula1>1</formula1>
      <formula2>5</formula2>
    </dataValidation>
    <dataValidation allowBlank="true" errorStyle="stop" operator="between" showDropDown="false" showErrorMessage="true" showInputMessage="false" sqref="I5:I19" type="list">
      <formula1>"À faire,En cours,Clôturée,En retard"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8" t="s">
        <v>33</v>
      </c>
      <c r="B1" s="8"/>
      <c r="C1" s="8"/>
    </row>
    <row r="2" customFormat="false" ht="15" hidden="false" customHeight="false" outlineLevel="0" collapsed="false">
      <c r="A2" s="2" t="s">
        <v>34</v>
      </c>
      <c r="B2" s="2"/>
      <c r="C2" s="2"/>
    </row>
    <row r="4" customFormat="false" ht="15" hidden="false" customHeight="false" outlineLevel="0" collapsed="false">
      <c r="A4" s="9" t="s">
        <v>35</v>
      </c>
    </row>
    <row r="5" customFormat="false" ht="15" hidden="false" customHeight="false" outlineLevel="0" collapsed="false">
      <c r="A5" s="10" t="n">
        <v>1</v>
      </c>
      <c r="B5" s="11" t="s">
        <v>36</v>
      </c>
      <c r="C5" s="11"/>
    </row>
    <row r="6" customFormat="false" ht="15" hidden="false" customHeight="false" outlineLevel="0" collapsed="false">
      <c r="A6" s="10" t="n">
        <v>2</v>
      </c>
      <c r="B6" s="11" t="s">
        <v>37</v>
      </c>
      <c r="C6" s="11"/>
    </row>
    <row r="7" customFormat="false" ht="15" hidden="false" customHeight="false" outlineLevel="0" collapsed="false">
      <c r="A7" s="10" t="n">
        <v>3</v>
      </c>
      <c r="B7" s="11" t="s">
        <v>38</v>
      </c>
      <c r="C7" s="11"/>
    </row>
    <row r="8" customFormat="false" ht="15" hidden="false" customHeight="false" outlineLevel="0" collapsed="false">
      <c r="A8" s="10" t="n">
        <v>4</v>
      </c>
      <c r="B8" s="11" t="s">
        <v>39</v>
      </c>
      <c r="C8" s="11"/>
    </row>
    <row r="9" customFormat="false" ht="15" hidden="false" customHeight="false" outlineLevel="0" collapsed="false">
      <c r="A9" s="10" t="n">
        <v>5</v>
      </c>
      <c r="B9" s="11" t="s">
        <v>40</v>
      </c>
      <c r="C9" s="11"/>
    </row>
    <row r="11" customFormat="false" ht="15" hidden="false" customHeight="false" outlineLevel="0" collapsed="false">
      <c r="A11" s="9" t="s">
        <v>41</v>
      </c>
    </row>
    <row r="12" customFormat="false" ht="15" hidden="false" customHeight="false" outlineLevel="0" collapsed="false">
      <c r="A12" s="10" t="n">
        <v>1</v>
      </c>
      <c r="B12" s="11" t="s">
        <v>42</v>
      </c>
      <c r="C12" s="11"/>
    </row>
    <row r="13" customFormat="false" ht="15" hidden="false" customHeight="false" outlineLevel="0" collapsed="false">
      <c r="A13" s="10" t="n">
        <v>2</v>
      </c>
      <c r="B13" s="11" t="s">
        <v>43</v>
      </c>
      <c r="C13" s="11"/>
    </row>
    <row r="14" customFormat="false" ht="15" hidden="false" customHeight="false" outlineLevel="0" collapsed="false">
      <c r="A14" s="10" t="n">
        <v>3</v>
      </c>
      <c r="B14" s="11" t="s">
        <v>44</v>
      </c>
      <c r="C14" s="11"/>
    </row>
    <row r="15" customFormat="false" ht="15" hidden="false" customHeight="false" outlineLevel="0" collapsed="false">
      <c r="A15" s="10" t="n">
        <v>4</v>
      </c>
      <c r="B15" s="11" t="s">
        <v>45</v>
      </c>
      <c r="C15" s="11"/>
    </row>
    <row r="16" customFormat="false" ht="15" hidden="false" customHeight="false" outlineLevel="0" collapsed="false">
      <c r="A16" s="10" t="n">
        <v>5</v>
      </c>
      <c r="B16" s="11" t="s">
        <v>46</v>
      </c>
      <c r="C16" s="11"/>
    </row>
    <row r="18" customFormat="false" ht="15" hidden="false" customHeight="false" outlineLevel="0" collapsed="false">
      <c r="A18" s="9" t="s">
        <v>6</v>
      </c>
    </row>
    <row r="19" customFormat="false" ht="15" hidden="false" customHeight="false" outlineLevel="0" collapsed="false">
      <c r="A19" s="10" t="s">
        <v>47</v>
      </c>
      <c r="B19" s="12" t="s">
        <v>48</v>
      </c>
      <c r="C19" s="13" t="s">
        <v>49</v>
      </c>
    </row>
    <row r="20" customFormat="false" ht="15" hidden="false" customHeight="false" outlineLevel="0" collapsed="false">
      <c r="A20" s="10" t="s">
        <v>50</v>
      </c>
      <c r="B20" s="14" t="s">
        <v>51</v>
      </c>
      <c r="C20" s="13" t="s">
        <v>52</v>
      </c>
    </row>
    <row r="21" customFormat="false" ht="15" hidden="false" customHeight="false" outlineLevel="0" collapsed="false">
      <c r="A21" s="10" t="s">
        <v>53</v>
      </c>
      <c r="B21" s="15" t="s">
        <v>54</v>
      </c>
      <c r="C21" s="13" t="s">
        <v>55</v>
      </c>
    </row>
  </sheetData>
  <mergeCells count="12">
    <mergeCell ref="A1:C1"/>
    <mergeCell ref="A2:C2"/>
    <mergeCell ref="B5:C5"/>
    <mergeCell ref="B6:C6"/>
    <mergeCell ref="B7:C7"/>
    <mergeCell ref="B8:C8"/>
    <mergeCell ref="B9:C9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2026-09-09T22:47:59Z</dcterms:created>
  <dc:creator>openpyxl</dc:creator>
  <dc:description/>
  <dc:language>fr-FR</dc:language>
  <cp:lastModifiedBy/>
  <dcterms:modified xsi:type="dcterms:W3CDTF">2026-09-09T22:47:59Z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