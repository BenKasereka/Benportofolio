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bleau de bord" sheetId="1" state="visible" r:id="rId3"/>
    <sheet name="Finance" sheetId="2" state="visible" r:id="rId4"/>
    <sheet name="SCM - Achats" sheetId="3" state="visible" r:id="rId5"/>
    <sheet name="RH" sheetId="4" state="visible" r:id="rId6"/>
    <sheet name="Programm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<sst xmlns="http://schemas.openxmlformats.org/spreadsheetml/2006/main" count="180" uniqueCount="118">
  <si>
    <t xml:space="preserve">TABLEAU DE BORD - READINESS AUDIT EXTERNE MULTI-DOMAINES</t>
  </si>
  <si>
    <t xml:space="preserve">Formation en Audit, Transparence et Conformite des ONGs - Module 09 - BK-BOOST Ltd.</t>
  </si>
  <si>
    <t xml:space="preserve">Domaine</t>
  </si>
  <si>
    <t xml:space="preserve">Points de controle</t>
  </si>
  <si>
    <t xml:space="preserve">Disponibles</t>
  </si>
  <si>
    <t xml:space="preserve">% Pret</t>
  </si>
  <si>
    <t xml:space="preserve">A traiter (En cours + Manquant)</t>
  </si>
  <si>
    <t xml:space="preserve">Statut global</t>
  </si>
  <si>
    <t xml:space="preserve">Finance</t>
  </si>
  <si>
    <t xml:space="preserve">SCM - Achats</t>
  </si>
  <si>
    <t xml:space="preserve">RH</t>
  </si>
  <si>
    <t xml:space="preserve">Programme</t>
  </si>
  <si>
    <t xml:space="preserve">TOUTE L'ORGANISATION</t>
  </si>
  <si>
    <t xml:space="preserve">Calcule automatiquement a partir des onglets par domaine - ne pas modifier manuellement les colonnes B a F.</t>
  </si>
  <si>
    <t xml:space="preserve">CHECKLIST DE PREPARATION AUDIT EXTERNE - FINANCE</t>
  </si>
  <si>
    <t xml:space="preserve">Point de controle</t>
  </si>
  <si>
    <t xml:space="preserve">Preuve documentaire attendue</t>
  </si>
  <si>
    <t xml:space="preserve">Responsable</t>
  </si>
  <si>
    <t xml:space="preserve">Statut</t>
  </si>
  <si>
    <t xml:space="preserve">Emplacement (dossier partage)</t>
  </si>
  <si>
    <t xml:space="preserve">Derniere verification</t>
  </si>
  <si>
    <t xml:space="preserve">Commentaire</t>
  </si>
  <si>
    <t xml:space="preserve">Dossier de preparation a l'audit finance transmis par le Finance Manager</t>
  </si>
  <si>
    <t xml:space="preserve">Dossier complet cf. checklist Finance (Formation Gestion Financiere, Module 06)</t>
  </si>
  <si>
    <t xml:space="preserve">Finance Manager</t>
  </si>
  <si>
    <t xml:space="preserve">Disponible</t>
  </si>
  <si>
    <t xml:space="preserve">Drive/Finance/Audit</t>
  </si>
  <si>
    <t xml:space="preserve">Cle de repartition des couts partages entre projets validee et documentee</t>
  </si>
  <si>
    <t xml:space="preserve">Note de methode signee + tableau de repartition par projet</t>
  </si>
  <si>
    <t xml:space="preserve">Drive/Finance/Repartition</t>
  </si>
  <si>
    <t xml:space="preserve">Rapprochements bancaires signes pour toute la periode sous audit</t>
  </si>
  <si>
    <t xml:space="preserve">Rapprochements mensuels signes Finance Officer + superviseur</t>
  </si>
  <si>
    <t xml:space="preserve">Finance Officer</t>
  </si>
  <si>
    <t xml:space="preserve">En cours</t>
  </si>
  <si>
    <t xml:space="preserve">Drive/Finance/Banque</t>
  </si>
  <si>
    <t xml:space="preserve">Suivi budgetaire par bailleur a jour et coherent avec les rapports financiers</t>
  </si>
  <si>
    <t xml:space="preserve">BFU (Budget Follow-Up) par bailleur, derniere version</t>
  </si>
  <si>
    <t xml:space="preserve">Drive/Finance/BFU</t>
  </si>
  <si>
    <t xml:space="preserve">Registre des immobilisations a jour avec preuve d'existence physique recente</t>
  </si>
  <si>
    <t xml:space="preserve">Registre + PV d'inventaire physique signe</t>
  </si>
  <si>
    <t xml:space="preserve">Manquant</t>
  </si>
  <si>
    <t xml:space="preserve">Drive/Finance/Immobilisations</t>
  </si>
  <si>
    <t xml:space="preserve">Inventaire physique a planifier avant la mission</t>
  </si>
  <si>
    <t xml:space="preserve">Points en suspens du dernier audit externe et statut de cloture</t>
  </si>
  <si>
    <t xml:space="preserve">Plan d'action correctif precedent + preuves de cloture</t>
  </si>
  <si>
    <t xml:space="preserve">Compliance Officer</t>
  </si>
  <si>
    <t xml:space="preserve">Drive/Audit/Suivi</t>
  </si>
  <si>
    <t xml:space="preserve">Statut : Disponible / En cours / Manquant - a mettre a jour en continu, pas seulement a l'annonce de la mission.</t>
  </si>
  <si>
    <t xml:space="preserve">CHECKLIST DE PREPARATION AUDIT EXTERNE - SCM - ACHATS</t>
  </si>
  <si>
    <t xml:space="preserve">Dossiers d'achats complets pour l'echantillon probable (achats &gt; seuil de derogation)</t>
  </si>
  <si>
    <t xml:space="preserve">3 devis ou justification de derogation, bon de commande, contrat</t>
  </si>
  <si>
    <t xml:space="preserve">Procurement Manager</t>
  </si>
  <si>
    <t xml:space="preserve">Drive/SCM/Achats</t>
  </si>
  <si>
    <t xml:space="preserve">Registre des contrats fournisseurs actifs a jour avec dates d'echeance</t>
  </si>
  <si>
    <t xml:space="preserve">Registre contrats + copies signees</t>
  </si>
  <si>
    <t xml:space="preserve">Procurement Officer</t>
  </si>
  <si>
    <t xml:space="preserve">Drive/SCM/Contrats</t>
  </si>
  <si>
    <t xml:space="preserve">PV de reception et bons de livraison rapproches aux factures</t>
  </si>
  <si>
    <t xml:space="preserve">PV de reception signes + factures correspondantes</t>
  </si>
  <si>
    <t xml:space="preserve">Store Keeper</t>
  </si>
  <si>
    <t xml:space="preserve">Drive/SCM/Reception</t>
  </si>
  <si>
    <t xml:space="preserve">Rapprochement en cours sur aout</t>
  </si>
  <si>
    <t xml:space="preserve">Inventaire physique du stock realise et rapproche a la fiche de stock</t>
  </si>
  <si>
    <t xml:space="preserve">PV d'inventaire physique + fiche de stock a jour</t>
  </si>
  <si>
    <t xml:space="preserve">Logistics Manager</t>
  </si>
  <si>
    <t xml:space="preserve">Drive/SCM/Stock</t>
  </si>
  <si>
    <t xml:space="preserve">Justificatifs de derogation a la procedure d'achat (urgence, source unique) archives</t>
  </si>
  <si>
    <t xml:space="preserve">Note de derogation validee par le niveau hierarchique requis</t>
  </si>
  <si>
    <t xml:space="preserve">Drive/SCM/Derogations</t>
  </si>
  <si>
    <t xml:space="preserve">Deux dossiers a completer</t>
  </si>
  <si>
    <t xml:space="preserve">Contrats de location vehicules et attestations d'assurance a jour</t>
  </si>
  <si>
    <t xml:space="preserve">Contrats + attestations d'assurance en cours de validite</t>
  </si>
  <si>
    <t xml:space="preserve">Drive/SCM/Flotte</t>
  </si>
  <si>
    <t xml:space="preserve">CHECKLIST DE PREPARATION AUDIT EXTERNE - RH</t>
  </si>
  <si>
    <t xml:space="preserve">Dossiers du personnel complets pour l'echantillon probable</t>
  </si>
  <si>
    <t xml:space="preserve">Contrat, CV, diplomes, evaluation annuelle</t>
  </si>
  <si>
    <t xml:space="preserve">RH Manager</t>
  </si>
  <si>
    <t xml:space="preserve">Drive/RH/Dossiers-Personnel</t>
  </si>
  <si>
    <t xml:space="preserve">Registre de paie rapproche aux contrats actifs et aux releves de presence</t>
  </si>
  <si>
    <t xml:space="preserve">Livre de paie + feuilles de presence signees</t>
  </si>
  <si>
    <t xml:space="preserve">Drive/RH/Paie</t>
  </si>
  <si>
    <t xml:space="preserve">Preuve d'existence physique recente des employes sur la liste de paie</t>
  </si>
  <si>
    <t xml:space="preserve">PV de pointage physique ou biometrique recent</t>
  </si>
  <si>
    <t xml:space="preserve">Drive/RH/Controle-Effectifs</t>
  </si>
  <si>
    <t xml:space="preserve">Pointage physique a organiser avant la mission</t>
  </si>
  <si>
    <t xml:space="preserve">Politique de delegation de signature a jour et signee par la Direction</t>
  </si>
  <si>
    <t xml:space="preserve">Document de delegation signe, versions anterieures archivees</t>
  </si>
  <si>
    <t xml:space="preserve">Direction Pays</t>
  </si>
  <si>
    <t xml:space="preserve">Drive/RH/Gouvernance</t>
  </si>
  <si>
    <t xml:space="preserve">Dossiers de depart complets pour le personnel sorti sur la periode</t>
  </si>
  <si>
    <t xml:space="preserve">Solde de tout compte + decharge signee</t>
  </si>
  <si>
    <t xml:space="preserve">Drive/RH/Departs</t>
  </si>
  <si>
    <t xml:space="preserve">Registre des formations et habilitations obligatoires a jour</t>
  </si>
  <si>
    <t xml:space="preserve">Attestations de formation securite et code de conduite</t>
  </si>
  <si>
    <t xml:space="preserve">Drive/RH/Formations</t>
  </si>
  <si>
    <t xml:space="preserve">CHECKLIST DE PREPARATION AUDIT EXTERNE - PROGRAMME</t>
  </si>
  <si>
    <t xml:space="preserve">Rapports narratifs bailleurs archives et coherents avec les depenses comptabilisees</t>
  </si>
  <si>
    <t xml:space="preserve">Rapports narratifs finaux + versions transmises au bailleur</t>
  </si>
  <si>
    <t xml:space="preserve">Program Manager</t>
  </si>
  <si>
    <t xml:space="preserve">Drive/Programme/Rapports</t>
  </si>
  <si>
    <t xml:space="preserve">Listes de beneficiaires et preuves de distribution disponibles pour l'echantillon</t>
  </si>
  <si>
    <t xml:space="preserve">Listes signees ou emargees, photos si prevu par le protocole</t>
  </si>
  <si>
    <t xml:space="preserve">Drive/Programme/Distributions</t>
  </si>
  <si>
    <t xml:space="preserve">Indicateurs de suivi M&amp;E documentes et coherents avec les rapports financiers</t>
  </si>
  <si>
    <t xml:space="preserve">Base de donnees M&amp;E + tableau de bord indicateurs</t>
  </si>
  <si>
    <t xml:space="preserve">MEAL Officer</t>
  </si>
  <si>
    <t xml:space="preserve">Drive/Programme/MEAL</t>
  </si>
  <si>
    <t xml:space="preserve">Accords de partenariat et de sous-subvention archives avec suivi des obligations</t>
  </si>
  <si>
    <t xml:space="preserve">Accords signes + rapports de suivi partenaire</t>
  </si>
  <si>
    <t xml:space="preserve">Drive/Programme/Partenariats</t>
  </si>
  <si>
    <t xml:space="preserve">Validations bailleur des modifications budgetaires (no-cost extension, reallocation)</t>
  </si>
  <si>
    <t xml:space="preserve">Courriers ou emails d'approbation bailleur</t>
  </si>
  <si>
    <t xml:space="preserve">Drive/Programme/Modifications</t>
  </si>
  <si>
    <t xml:space="preserve">Une validation orale a faire confirmer par ecrit</t>
  </si>
  <si>
    <t xml:space="preserve">Dossier de la cle de repartition analytique des couts partages entre projets</t>
  </si>
  <si>
    <t xml:space="preserve">Meme cle de repartition que celle validee par Finance - coherence a verifier</t>
  </si>
  <si>
    <t xml:space="preserve">Drive/Programme/Repartition</t>
  </si>
  <si>
    <t xml:space="preserve">Cf. onglet Finance, ligne 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</si>
</sst>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\ %"/>
    <numFmt numFmtId="166" formatCode="dd/mm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E3A8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  <fill>
      <patternFill patternType="solid">
        <fgColor rgb="FFDBEAFE"/>
        <bgColor rgb="FFD1FA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1FAE5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EF3C7"/>
      <rgbColor rgb="FFECFDF5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2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9.5" hidden="false" customHeight="true" outlineLevel="0" collapsed="false">
      <c r="A5" s="4" t="s">
        <v>8</v>
      </c>
      <c r="B5" s="5" t="n">
        <f aca="false">COUNTA(Finance!$A$5:$A$10)</f>
        <v>6</v>
      </c>
      <c r="C5" s="5" t="n">
        <f aca="false">COUNTIF(Finance!$D$5:$D$10,"Disponible")</f>
        <v>4</v>
      </c>
      <c r="D5" s="6" t="n">
        <f aca="false">IF(B5=0,"",C5/B5)</f>
        <v>0.666666666666667</v>
      </c>
      <c r="E5" s="5" t="n">
        <f aca="false">B5-C5</f>
        <v>2</v>
      </c>
      <c r="F5" s="5" t="str">
        <f aca="false">IF(B5=0,"-",IF(COUNTIF(Finance!$D$5:$D$10,"Manquant")&gt;0,"A COMPLETER",IF(COUNTIF(Finance!$D$5:$D$10,"En cours")&gt;0,"EN COURS","PRET")))</f>
        <v>A COMPLETER</v>
      </c>
    </row>
    <row r="6" customFormat="false" ht="19.5" hidden="false" customHeight="true" outlineLevel="0" collapsed="false">
      <c r="A6" s="7" t="s">
        <v>9</v>
      </c>
      <c r="B6" s="8" t="n">
        <f aca="false">COUNTA('SCM - Achats'!$A$5:$A$10)</f>
        <v>6</v>
      </c>
      <c r="C6" s="8" t="n">
        <f aca="false">COUNTIF('SCM - Achats'!$D$5:$D$10,"Disponible")</f>
        <v>4</v>
      </c>
      <c r="D6" s="6" t="n">
        <f aca="false">IF(B6=0,"",C6/B6)</f>
        <v>0.666666666666667</v>
      </c>
      <c r="E6" s="8" t="n">
        <f aca="false">B6-C6</f>
        <v>2</v>
      </c>
      <c r="F6" s="8" t="str">
        <f aca="false">IF(B6=0,"-",IF(COUNTIF('SCM - Achats'!$D$5:$D$10,"Manquant")&gt;0,"A COMPLETER",IF(COUNTIF('SCM - Achats'!$D$5:$D$10,"En cours")&gt;0,"EN COURS","PRET")))</f>
        <v>A COMPLETER</v>
      </c>
    </row>
    <row r="7" customFormat="false" ht="19.5" hidden="false" customHeight="true" outlineLevel="0" collapsed="false">
      <c r="A7" s="4" t="s">
        <v>10</v>
      </c>
      <c r="B7" s="5" t="n">
        <f aca="false">COUNTA(RH!$A$5:$A$10)</f>
        <v>6</v>
      </c>
      <c r="C7" s="5" t="n">
        <f aca="false">COUNTIF(RH!$D$5:$D$10,"Disponible")</f>
        <v>4</v>
      </c>
      <c r="D7" s="6" t="n">
        <f aca="false">IF(B7=0,"",C7/B7)</f>
        <v>0.666666666666667</v>
      </c>
      <c r="E7" s="5" t="n">
        <f aca="false">B7-C7</f>
        <v>2</v>
      </c>
      <c r="F7" s="5" t="str">
        <f aca="false">IF(B7=0,"-",IF(COUNTIF(RH!$D$5:$D$10,"Manquant")&gt;0,"A COMPLETER",IF(COUNTIF(RH!$D$5:$D$10,"En cours")&gt;0,"EN COURS","PRET")))</f>
        <v>A COMPLETER</v>
      </c>
    </row>
    <row r="8" customFormat="false" ht="19.5" hidden="false" customHeight="true" outlineLevel="0" collapsed="false">
      <c r="A8" s="7" t="s">
        <v>11</v>
      </c>
      <c r="B8" s="8" t="n">
        <f aca="false">COUNTA(Programme!$A$5:$A$10)</f>
        <v>6</v>
      </c>
      <c r="C8" s="8" t="n">
        <f aca="false">COUNTIF(Programme!$D$5:$D$10,"Disponible")</f>
        <v>4</v>
      </c>
      <c r="D8" s="6" t="n">
        <f aca="false">IF(B8=0,"",C8/B8)</f>
        <v>0.666666666666667</v>
      </c>
      <c r="E8" s="8" t="n">
        <f aca="false">B8-C8</f>
        <v>2</v>
      </c>
      <c r="F8" s="8" t="str">
        <f aca="false">IF(B8=0,"-",IF(COUNTIF(Programme!$D$5:$D$10,"Manquant")&gt;0,"A COMPLETER",IF(COUNTIF(Programme!$D$5:$D$10,"En cours")&gt;0,"EN COURS","PRET")))</f>
        <v>A COMPLETER</v>
      </c>
    </row>
    <row r="9" customFormat="false" ht="21.75" hidden="false" customHeight="true" outlineLevel="0" collapsed="false">
      <c r="A9" s="9" t="s">
        <v>12</v>
      </c>
      <c r="B9" s="10" t="n">
        <f aca="false">SUM(B5:B8)</f>
        <v>24</v>
      </c>
      <c r="C9" s="10" t="n">
        <f aca="false">SUM(C5:C8)</f>
        <v>16</v>
      </c>
      <c r="D9" s="11" t="n">
        <f aca="false">IF(B9=0,"",C9/B9)</f>
        <v>0.666666666666667</v>
      </c>
      <c r="E9" s="10" t="n">
        <f aca="false">B9-C9</f>
        <v>8</v>
      </c>
      <c r="F9" s="10" t="str">
        <f aca="false">IF(D9=1,"PRET","A COMPLETER")</f>
        <v>A COMPLETER</v>
      </c>
    </row>
    <row r="11" customFormat="false" ht="15" hidden="false" customHeight="false" outlineLevel="0" collapsed="false">
      <c r="A11" s="12" t="s">
        <v>13</v>
      </c>
      <c r="B11" s="12"/>
      <c r="C11" s="12"/>
      <c r="D11" s="12"/>
      <c r="E11" s="12"/>
      <c r="F11" s="12"/>
    </row>
  </sheetData>
  <mergeCells count="3">
    <mergeCell ref="A1:F1"/>
    <mergeCell ref="A2:F2"/>
    <mergeCell ref="A11:F11"/>
  </mergeCells>
  <conditionalFormatting sqref="F5:F9">
    <cfRule type="cellIs" priority="2" operator="equal" aboveAverage="0" equalAverage="0" bottom="0" percent="0" rank="0" text="" dxfId="0">
      <formula>"PRET"</formula>
    </cfRule>
    <cfRule type="cellIs" priority="3" operator="equal" aboveAverage="0" equalAverage="0" bottom="0" percent="0" rank="0" text="" dxfId="1">
      <formula>"EN COURS"</formula>
    </cfRule>
    <cfRule type="cellIs" priority="4" operator="equal" aboveAverage="0" equalAverage="0" bottom="0" percent="0" rank="0" text="" dxfId="2">
      <formula>"A COMPLETER"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32"/>
  </cols>
  <sheetData>
    <row r="1" customFormat="false" ht="25.5" hidden="false" customHeight="true" outlineLevel="0" collapsed="false">
      <c r="A1" s="1" t="s">
        <v>14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</row>
    <row r="5" customFormat="false" ht="30" hidden="false" customHeight="true" outlineLevel="0" collapsed="false">
      <c r="A5" s="13" t="s">
        <v>22</v>
      </c>
      <c r="B5" s="13" t="s">
        <v>23</v>
      </c>
      <c r="C5" s="13" t="s">
        <v>24</v>
      </c>
      <c r="D5" s="5" t="s">
        <v>25</v>
      </c>
      <c r="E5" s="13" t="s">
        <v>26</v>
      </c>
      <c r="F5" s="14" t="n">
        <v>46254</v>
      </c>
      <c r="G5" s="13"/>
    </row>
    <row r="6" customFormat="false" ht="30" hidden="false" customHeight="true" outlineLevel="0" collapsed="false">
      <c r="A6" s="15" t="s">
        <v>27</v>
      </c>
      <c r="B6" s="15" t="s">
        <v>28</v>
      </c>
      <c r="C6" s="15" t="s">
        <v>24</v>
      </c>
      <c r="D6" s="8" t="s">
        <v>25</v>
      </c>
      <c r="E6" s="15" t="s">
        <v>29</v>
      </c>
      <c r="F6" s="16" t="n">
        <v>46252</v>
      </c>
      <c r="G6" s="15"/>
    </row>
    <row r="7" customFormat="false" ht="30" hidden="false" customHeight="true" outlineLevel="0" collapsed="false">
      <c r="A7" s="13" t="s">
        <v>30</v>
      </c>
      <c r="B7" s="13" t="s">
        <v>31</v>
      </c>
      <c r="C7" s="13" t="s">
        <v>32</v>
      </c>
      <c r="D7" s="5" t="s">
        <v>33</v>
      </c>
      <c r="E7" s="13" t="s">
        <v>34</v>
      </c>
      <c r="F7" s="14" t="n">
        <v>46256</v>
      </c>
      <c r="G7" s="13"/>
    </row>
    <row r="8" customFormat="false" ht="30" hidden="false" customHeight="true" outlineLevel="0" collapsed="false">
      <c r="A8" s="15" t="s">
        <v>35</v>
      </c>
      <c r="B8" s="15" t="s">
        <v>36</v>
      </c>
      <c r="C8" s="15" t="s">
        <v>24</v>
      </c>
      <c r="D8" s="8" t="s">
        <v>25</v>
      </c>
      <c r="E8" s="15" t="s">
        <v>37</v>
      </c>
      <c r="F8" s="16" t="n">
        <v>46249</v>
      </c>
      <c r="G8" s="15"/>
    </row>
    <row r="9" customFormat="false" ht="30" hidden="false" customHeight="true" outlineLevel="0" collapsed="false">
      <c r="A9" s="13" t="s">
        <v>38</v>
      </c>
      <c r="B9" s="13" t="s">
        <v>39</v>
      </c>
      <c r="C9" s="13" t="s">
        <v>24</v>
      </c>
      <c r="D9" s="5" t="s">
        <v>40</v>
      </c>
      <c r="E9" s="13" t="s">
        <v>41</v>
      </c>
      <c r="F9" s="14" t="n">
        <v>46233</v>
      </c>
      <c r="G9" s="13" t="s">
        <v>42</v>
      </c>
    </row>
    <row r="10" customFormat="false" ht="30" hidden="false" customHeight="true" outlineLevel="0" collapsed="false">
      <c r="A10" s="15" t="s">
        <v>43</v>
      </c>
      <c r="B10" s="15" t="s">
        <v>44</v>
      </c>
      <c r="C10" s="15" t="s">
        <v>45</v>
      </c>
      <c r="D10" s="8" t="s">
        <v>25</v>
      </c>
      <c r="E10" s="15" t="s">
        <v>46</v>
      </c>
      <c r="F10" s="16" t="n">
        <v>46244</v>
      </c>
      <c r="G10" s="15"/>
    </row>
    <row r="12" customFormat="false" ht="15" hidden="false" customHeight="false" outlineLevel="0" collapsed="false">
      <c r="A12" s="12" t="s">
        <v>47</v>
      </c>
      <c r="B12" s="12"/>
      <c r="C12" s="12"/>
      <c r="D12" s="12"/>
      <c r="E12" s="12"/>
      <c r="F12" s="12"/>
      <c r="G12" s="12"/>
    </row>
  </sheetData>
  <mergeCells count="3">
    <mergeCell ref="A1:G1"/>
    <mergeCell ref="A2:G2"/>
    <mergeCell ref="A12:G12"/>
  </mergeCells>
  <conditionalFormatting sqref="D5:D10">
    <cfRule type="cellIs" priority="2" operator="equal" aboveAverage="0" equalAverage="0" bottom="0" percent="0" rank="0" text="" dxfId="0">
      <formula>"Disponible"</formula>
    </cfRule>
    <cfRule type="cellIs" priority="3" operator="equal" aboveAverage="0" equalAverage="0" bottom="0" percent="0" rank="0" text="" dxfId="1">
      <formula>"En cours"</formula>
    </cfRule>
    <cfRule type="cellIs" priority="4" operator="equal" aboveAverage="0" equalAverage="0" bottom="0" percent="0" rank="0" text="" dxfId="2">
      <formula>"Manquant"</formula>
    </cfRule>
  </conditionalFormatting>
  <dataValidations count="1">
    <dataValidation allowBlank="true" errorStyle="stop" operator="between" showDropDown="false" showErrorMessage="false" showInputMessage="false" sqref="D5:D10" type="list">
      <formula1>"Disponible,En cours,Manquant"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32"/>
  </cols>
  <sheetData>
    <row r="1" customFormat="false" ht="25.5" hidden="false" customHeight="true" outlineLevel="0" collapsed="false">
      <c r="A1" s="1" t="s">
        <v>48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</row>
    <row r="5" customFormat="false" ht="30" hidden="false" customHeight="true" outlineLevel="0" collapsed="false">
      <c r="A5" s="13" t="s">
        <v>49</v>
      </c>
      <c r="B5" s="13" t="s">
        <v>50</v>
      </c>
      <c r="C5" s="13" t="s">
        <v>51</v>
      </c>
      <c r="D5" s="5" t="s">
        <v>25</v>
      </c>
      <c r="E5" s="13" t="s">
        <v>52</v>
      </c>
      <c r="F5" s="14" t="n">
        <v>46253</v>
      </c>
      <c r="G5" s="13"/>
    </row>
    <row r="6" customFormat="false" ht="30" hidden="false" customHeight="true" outlineLevel="0" collapsed="false">
      <c r="A6" s="15" t="s">
        <v>53</v>
      </c>
      <c r="B6" s="15" t="s">
        <v>54</v>
      </c>
      <c r="C6" s="15" t="s">
        <v>55</v>
      </c>
      <c r="D6" s="8" t="s">
        <v>25</v>
      </c>
      <c r="E6" s="15" t="s">
        <v>56</v>
      </c>
      <c r="F6" s="16" t="n">
        <v>46246</v>
      </c>
      <c r="G6" s="15"/>
    </row>
    <row r="7" customFormat="false" ht="30" hidden="false" customHeight="true" outlineLevel="0" collapsed="false">
      <c r="A7" s="13" t="s">
        <v>57</v>
      </c>
      <c r="B7" s="13" t="s">
        <v>58</v>
      </c>
      <c r="C7" s="13" t="s">
        <v>59</v>
      </c>
      <c r="D7" s="5" t="s">
        <v>33</v>
      </c>
      <c r="E7" s="13" t="s">
        <v>60</v>
      </c>
      <c r="F7" s="14" t="n">
        <v>46255</v>
      </c>
      <c r="G7" s="13" t="s">
        <v>61</v>
      </c>
    </row>
    <row r="8" customFormat="false" ht="30" hidden="false" customHeight="true" outlineLevel="0" collapsed="false">
      <c r="A8" s="15" t="s">
        <v>62</v>
      </c>
      <c r="B8" s="15" t="s">
        <v>63</v>
      </c>
      <c r="C8" s="15" t="s">
        <v>64</v>
      </c>
      <c r="D8" s="8" t="s">
        <v>25</v>
      </c>
      <c r="E8" s="15" t="s">
        <v>65</v>
      </c>
      <c r="F8" s="16" t="n">
        <v>46239</v>
      </c>
      <c r="G8" s="15"/>
    </row>
    <row r="9" customFormat="false" ht="30" hidden="false" customHeight="true" outlineLevel="0" collapsed="false">
      <c r="A9" s="13" t="s">
        <v>66</v>
      </c>
      <c r="B9" s="13" t="s">
        <v>67</v>
      </c>
      <c r="C9" s="13" t="s">
        <v>51</v>
      </c>
      <c r="D9" s="5" t="s">
        <v>40</v>
      </c>
      <c r="E9" s="13" t="s">
        <v>68</v>
      </c>
      <c r="F9" s="14" t="n">
        <v>46231</v>
      </c>
      <c r="G9" s="13" t="s">
        <v>69</v>
      </c>
    </row>
    <row r="10" customFormat="false" ht="30" hidden="false" customHeight="true" outlineLevel="0" collapsed="false">
      <c r="A10" s="15" t="s">
        <v>70</v>
      </c>
      <c r="B10" s="15" t="s">
        <v>71</v>
      </c>
      <c r="C10" s="15" t="s">
        <v>64</v>
      </c>
      <c r="D10" s="8" t="s">
        <v>25</v>
      </c>
      <c r="E10" s="15" t="s">
        <v>72</v>
      </c>
      <c r="F10" s="16" t="n">
        <v>46248</v>
      </c>
      <c r="G10" s="15"/>
    </row>
    <row r="12" customFormat="false" ht="15" hidden="false" customHeight="false" outlineLevel="0" collapsed="false">
      <c r="A12" s="12" t="s">
        <v>47</v>
      </c>
      <c r="B12" s="12"/>
      <c r="C12" s="12"/>
      <c r="D12" s="12"/>
      <c r="E12" s="12"/>
      <c r="F12" s="12"/>
      <c r="G12" s="12"/>
    </row>
  </sheetData>
  <mergeCells count="3">
    <mergeCell ref="A1:G1"/>
    <mergeCell ref="A2:G2"/>
    <mergeCell ref="A12:G12"/>
  </mergeCells>
  <conditionalFormatting sqref="D5:D10">
    <cfRule type="cellIs" priority="2" operator="equal" aboveAverage="0" equalAverage="0" bottom="0" percent="0" rank="0" text="" dxfId="0">
      <formula>"Disponible"</formula>
    </cfRule>
    <cfRule type="cellIs" priority="3" operator="equal" aboveAverage="0" equalAverage="0" bottom="0" percent="0" rank="0" text="" dxfId="1">
      <formula>"En cours"</formula>
    </cfRule>
    <cfRule type="cellIs" priority="4" operator="equal" aboveAverage="0" equalAverage="0" bottom="0" percent="0" rank="0" text="" dxfId="2">
      <formula>"Manquant"</formula>
    </cfRule>
  </conditionalFormatting>
  <dataValidations count="1">
    <dataValidation allowBlank="true" errorStyle="stop" operator="between" showDropDown="false" showErrorMessage="false" showInputMessage="false" sqref="D5:D10" type="list">
      <formula1>"Disponible,En cours,Manquant"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32"/>
  </cols>
  <sheetData>
    <row r="1" customFormat="false" ht="25.5" hidden="false" customHeight="true" outlineLevel="0" collapsed="false">
      <c r="A1" s="1" t="s">
        <v>73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</row>
    <row r="5" customFormat="false" ht="30" hidden="false" customHeight="true" outlineLevel="0" collapsed="false">
      <c r="A5" s="13" t="s">
        <v>74</v>
      </c>
      <c r="B5" s="13" t="s">
        <v>75</v>
      </c>
      <c r="C5" s="13" t="s">
        <v>76</v>
      </c>
      <c r="D5" s="5" t="s">
        <v>25</v>
      </c>
      <c r="E5" s="13" t="s">
        <v>77</v>
      </c>
      <c r="F5" s="14" t="n">
        <v>46251</v>
      </c>
      <c r="G5" s="13"/>
    </row>
    <row r="6" customFormat="false" ht="30" hidden="false" customHeight="true" outlineLevel="0" collapsed="false">
      <c r="A6" s="15" t="s">
        <v>78</v>
      </c>
      <c r="B6" s="15" t="s">
        <v>79</v>
      </c>
      <c r="C6" s="15" t="s">
        <v>76</v>
      </c>
      <c r="D6" s="8" t="s">
        <v>33</v>
      </c>
      <c r="E6" s="15" t="s">
        <v>80</v>
      </c>
      <c r="F6" s="16" t="n">
        <v>46257</v>
      </c>
      <c r="G6" s="15"/>
    </row>
    <row r="7" customFormat="false" ht="30" hidden="false" customHeight="true" outlineLevel="0" collapsed="false">
      <c r="A7" s="13" t="s">
        <v>81</v>
      </c>
      <c r="B7" s="13" t="s">
        <v>82</v>
      </c>
      <c r="C7" s="13" t="s">
        <v>45</v>
      </c>
      <c r="D7" s="5" t="s">
        <v>40</v>
      </c>
      <c r="E7" s="13" t="s">
        <v>83</v>
      </c>
      <c r="F7" s="14" t="n">
        <v>46228</v>
      </c>
      <c r="G7" s="13" t="s">
        <v>84</v>
      </c>
    </row>
    <row r="8" customFormat="false" ht="30" hidden="false" customHeight="true" outlineLevel="0" collapsed="false">
      <c r="A8" s="15" t="s">
        <v>85</v>
      </c>
      <c r="B8" s="15" t="s">
        <v>86</v>
      </c>
      <c r="C8" s="15" t="s">
        <v>87</v>
      </c>
      <c r="D8" s="8" t="s">
        <v>25</v>
      </c>
      <c r="E8" s="15" t="s">
        <v>88</v>
      </c>
      <c r="F8" s="16" t="n">
        <v>46235</v>
      </c>
      <c r="G8" s="15"/>
    </row>
    <row r="9" customFormat="false" ht="30" hidden="false" customHeight="true" outlineLevel="0" collapsed="false">
      <c r="A9" s="13" t="s">
        <v>89</v>
      </c>
      <c r="B9" s="13" t="s">
        <v>90</v>
      </c>
      <c r="C9" s="13" t="s">
        <v>76</v>
      </c>
      <c r="D9" s="5" t="s">
        <v>25</v>
      </c>
      <c r="E9" s="13" t="s">
        <v>91</v>
      </c>
      <c r="F9" s="14" t="n">
        <v>46243</v>
      </c>
      <c r="G9" s="13"/>
    </row>
    <row r="10" customFormat="false" ht="30" hidden="false" customHeight="true" outlineLevel="0" collapsed="false">
      <c r="A10" s="15" t="s">
        <v>92</v>
      </c>
      <c r="B10" s="15" t="s">
        <v>93</v>
      </c>
      <c r="C10" s="15" t="s">
        <v>76</v>
      </c>
      <c r="D10" s="8" t="s">
        <v>25</v>
      </c>
      <c r="E10" s="15" t="s">
        <v>94</v>
      </c>
      <c r="F10" s="16" t="n">
        <v>46245</v>
      </c>
      <c r="G10" s="15"/>
    </row>
    <row r="12" customFormat="false" ht="15" hidden="false" customHeight="false" outlineLevel="0" collapsed="false">
      <c r="A12" s="12" t="s">
        <v>47</v>
      </c>
      <c r="B12" s="12"/>
      <c r="C12" s="12"/>
      <c r="D12" s="12"/>
      <c r="E12" s="12"/>
      <c r="F12" s="12"/>
      <c r="G12" s="12"/>
    </row>
  </sheetData>
  <mergeCells count="3">
    <mergeCell ref="A1:G1"/>
    <mergeCell ref="A2:G2"/>
    <mergeCell ref="A12:G12"/>
  </mergeCells>
  <conditionalFormatting sqref="D5:D10">
    <cfRule type="cellIs" priority="2" operator="equal" aboveAverage="0" equalAverage="0" bottom="0" percent="0" rank="0" text="" dxfId="0">
      <formula>"Disponible"</formula>
    </cfRule>
    <cfRule type="cellIs" priority="3" operator="equal" aboveAverage="0" equalAverage="0" bottom="0" percent="0" rank="0" text="" dxfId="1">
      <formula>"En cours"</formula>
    </cfRule>
    <cfRule type="cellIs" priority="4" operator="equal" aboveAverage="0" equalAverage="0" bottom="0" percent="0" rank="0" text="" dxfId="2">
      <formula>"Manquant"</formula>
    </cfRule>
  </conditionalFormatting>
  <dataValidations count="1">
    <dataValidation allowBlank="true" errorStyle="stop" operator="between" showDropDown="false" showErrorMessage="false" showInputMessage="false" sqref="D5:D10" type="list">
      <formula1>"Disponible,En cours,Manquant"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32"/>
  </cols>
  <sheetData>
    <row r="1" customFormat="false" ht="25.5" hidden="false" customHeight="true" outlineLevel="0" collapsed="false">
      <c r="A1" s="1" t="s">
        <v>95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</row>
    <row r="5" customFormat="false" ht="30" hidden="false" customHeight="true" outlineLevel="0" collapsed="false">
      <c r="A5" s="13" t="s">
        <v>96</v>
      </c>
      <c r="B5" s="13" t="s">
        <v>97</v>
      </c>
      <c r="C5" s="13" t="s">
        <v>98</v>
      </c>
      <c r="D5" s="5" t="s">
        <v>25</v>
      </c>
      <c r="E5" s="13" t="s">
        <v>99</v>
      </c>
      <c r="F5" s="14" t="n">
        <v>46250</v>
      </c>
      <c r="G5" s="13"/>
    </row>
    <row r="6" customFormat="false" ht="30" hidden="false" customHeight="true" outlineLevel="0" collapsed="false">
      <c r="A6" s="15" t="s">
        <v>100</v>
      </c>
      <c r="B6" s="15" t="s">
        <v>101</v>
      </c>
      <c r="C6" s="15" t="s">
        <v>98</v>
      </c>
      <c r="D6" s="8" t="s">
        <v>25</v>
      </c>
      <c r="E6" s="15" t="s">
        <v>102</v>
      </c>
      <c r="F6" s="16" t="n">
        <v>46247</v>
      </c>
      <c r="G6" s="15"/>
    </row>
    <row r="7" customFormat="false" ht="30" hidden="false" customHeight="true" outlineLevel="0" collapsed="false">
      <c r="A7" s="13" t="s">
        <v>103</v>
      </c>
      <c r="B7" s="13" t="s">
        <v>104</v>
      </c>
      <c r="C7" s="13" t="s">
        <v>105</v>
      </c>
      <c r="D7" s="5" t="s">
        <v>33</v>
      </c>
      <c r="E7" s="13" t="s">
        <v>106</v>
      </c>
      <c r="F7" s="14" t="n">
        <v>46254</v>
      </c>
      <c r="G7" s="13"/>
    </row>
    <row r="8" customFormat="false" ht="30" hidden="false" customHeight="true" outlineLevel="0" collapsed="false">
      <c r="A8" s="15" t="s">
        <v>107</v>
      </c>
      <c r="B8" s="15" t="s">
        <v>108</v>
      </c>
      <c r="C8" s="15" t="s">
        <v>98</v>
      </c>
      <c r="D8" s="8" t="s">
        <v>25</v>
      </c>
      <c r="E8" s="15" t="s">
        <v>109</v>
      </c>
      <c r="F8" s="16" t="n">
        <v>46238</v>
      </c>
      <c r="G8" s="15"/>
    </row>
    <row r="9" customFormat="false" ht="30" hidden="false" customHeight="true" outlineLevel="0" collapsed="false">
      <c r="A9" s="13" t="s">
        <v>110</v>
      </c>
      <c r="B9" s="13" t="s">
        <v>111</v>
      </c>
      <c r="C9" s="13" t="s">
        <v>98</v>
      </c>
      <c r="D9" s="5" t="s">
        <v>40</v>
      </c>
      <c r="E9" s="13" t="s">
        <v>112</v>
      </c>
      <c r="F9" s="14" t="n">
        <v>46225</v>
      </c>
      <c r="G9" s="13" t="s">
        <v>113</v>
      </c>
    </row>
    <row r="10" customFormat="false" ht="30" hidden="false" customHeight="true" outlineLevel="0" collapsed="false">
      <c r="A10" s="15" t="s">
        <v>114</v>
      </c>
      <c r="B10" s="15" t="s">
        <v>115</v>
      </c>
      <c r="C10" s="15" t="s">
        <v>98</v>
      </c>
      <c r="D10" s="8" t="s">
        <v>25</v>
      </c>
      <c r="E10" s="15" t="s">
        <v>116</v>
      </c>
      <c r="F10" s="16" t="n">
        <v>46252</v>
      </c>
      <c r="G10" s="15" t="s">
        <v>117</v>
      </c>
    </row>
    <row r="12" customFormat="false" ht="15" hidden="false" customHeight="false" outlineLevel="0" collapsed="false">
      <c r="A12" s="12" t="s">
        <v>47</v>
      </c>
      <c r="B12" s="12"/>
      <c r="C12" s="12"/>
      <c r="D12" s="12"/>
      <c r="E12" s="12"/>
      <c r="F12" s="12"/>
      <c r="G12" s="12"/>
    </row>
  </sheetData>
  <mergeCells count="3">
    <mergeCell ref="A1:G1"/>
    <mergeCell ref="A2:G2"/>
    <mergeCell ref="A12:G12"/>
  </mergeCells>
  <conditionalFormatting sqref="D5:D10">
    <cfRule type="cellIs" priority="2" operator="equal" aboveAverage="0" equalAverage="0" bottom="0" percent="0" rank="0" text="" dxfId="0">
      <formula>"Disponible"</formula>
    </cfRule>
    <cfRule type="cellIs" priority="3" operator="equal" aboveAverage="0" equalAverage="0" bottom="0" percent="0" rank="0" text="" dxfId="1">
      <formula>"En cours"</formula>
    </cfRule>
    <cfRule type="cellIs" priority="4" operator="equal" aboveAverage="0" equalAverage="0" bottom="0" percent="0" rank="0" text="" dxfId="2">
      <formula>"Manquant"</formula>
    </cfRule>
  </conditionalFormatting>
  <dataValidations count="1">
    <dataValidation allowBlank="true" errorStyle="stop" operator="between" showDropDown="false" showErrorMessage="false" showInputMessage="false" sqref="D5:D10" type="list">
      <formula1>"Disponible,En cours,Manquant"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2026-09-09T22:47:31Z</dcterms:created>
  <dc:creator>openpyxl</dc:creator>
  <dc:description/>
  <dc:language>fr-FR</dc:language>
  <cp:lastModifiedBy/>
  <dcterms:modified xsi:type="dcterms:W3CDTF">2026-09-09T22:47:31Z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