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éalisations" sheetId="1" state="visible" r:id="rId3"/>
    <sheet name="Compétences" sheetId="2" state="visible" r:id="rId4"/>
    <sheet name="Synthèse positionnemen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<sst xmlns="http://schemas.openxmlformats.org/spreadsheetml/2006/main" count="36" uniqueCount="34">
  <si>
    <t xml:space="preserve">BILAN DE COMPÉTENCES ET POSITIONNEMENT DE CARRIÈRE</t>
  </si>
  <si>
    <t xml:space="preserve">Module 01 — Audit de Carrière &amp; Positionnement Stratégique · Formation &amp; Accompagnement de Carrière · BK-BOOST Ltd.</t>
  </si>
  <si>
    <t xml:space="preserve">Onglet 1/3 — Réalisations : pour chaque poste occupé, listez 2 à 4 réalisations formulées selon action + contexte + résultat mesurable (ex. « supervision d'une équipe de 6 personnes sur un projet de distribution touchant 12 000 bénéficiaires, livré dans les délais »).</t>
  </si>
  <si>
    <t xml:space="preserve">Poste occupé</t>
  </si>
  <si>
    <t xml:space="preserve">Période</t>
  </si>
  <si>
    <t xml:space="preserve">Réalisation quantifiable (action + contexte + résultat mesurable)</t>
  </si>
  <si>
    <t xml:space="preserve">Chiffre / preuve associée</t>
  </si>
  <si>
    <t xml:space="preserve">Compétence managériale démontrée (oui/non + laquelle)</t>
  </si>
  <si>
    <t xml:space="preserve">À réutiliser dans le CV ?</t>
  </si>
  <si>
    <t xml:space="preserve">INVENTAIRE DE COMPÉTENCES — CONFIANCE × PERTINENCE MARCHÉ</t>
  </si>
  <si>
    <t xml:space="preserve">Notez chaque compétence sur 2 axes (1 = faible, 5 = fort). Le score de positionnement de l'onglet Synthèse se calcule automatiquement à partir de ces notes.</t>
  </si>
  <si>
    <t xml:space="preserve">Distinguez vos compétences opérationnelles (déjà solides) de vos compétences managériales à mettre en avant. Une compétence où vous excellez mais que le marché cible n'exige pas ne doit pas figurer en tête de CV.</t>
  </si>
  <si>
    <t xml:space="preserve">Compétence (technique ou transférable)</t>
  </si>
  <si>
    <t xml:space="preserve">Type (Opérationnelle / Managériale / Transférable)</t>
  </si>
  <si>
    <t xml:space="preserve">Niveau de confiance réel (1-5)</t>
  </si>
  <si>
    <t xml:space="preserve">Pertinence pour le secteur/niveau visé (1-5)</t>
  </si>
  <si>
    <t xml:space="preserve">Score compétence (confiance × pertinence)</t>
  </si>
  <si>
    <t xml:space="preserve">Nombre de compétences renseignées</t>
  </si>
  <si>
    <t xml:space="preserve">Confiance moyenne (/5)</t>
  </si>
  <si>
    <t xml:space="preserve">Pertinence marché moyenne (/5)</t>
  </si>
  <si>
    <t xml:space="preserve">Part des compétences à forte pertinence (≥4/5)</t>
  </si>
  <si>
    <t xml:space="preserve">SYNTHÈSE DU POSITIONNEMENT</t>
  </si>
  <si>
    <t xml:space="preserve">Calculée automatiquement à partir des onglets Réalisations et Compétences — ne pas modifier les formules.</t>
  </si>
  <si>
    <t xml:space="preserve">Cible déclarée</t>
  </si>
  <si>
    <t xml:space="preserve">Intitulé de poste visé</t>
  </si>
  <si>
    <t xml:space="preserve">Niveau de séniorité visé (junior / confirmé / senior / managérial)</t>
  </si>
  <si>
    <t xml:space="preserve">Secteur visé (ONG / privé / onusien / institutionnel)</t>
  </si>
  <si>
    <t xml:space="preserve">Indicateurs calculés</t>
  </si>
  <si>
    <t xml:space="preserve">Nombre de réalisations quantifiables saisies</t>
  </si>
  <si>
    <t xml:space="preserve">Nombre de compétences managériales identifiées</t>
  </si>
  <si>
    <t xml:space="preserve">Part des compétences à forte pertinence marché (≥4/5)</t>
  </si>
  <si>
    <t xml:space="preserve">SCORE DE POSITIONNEMENT (/100)</t>
  </si>
  <si>
    <t xml:space="preserve">Lecture du score</t>
  </si>
  <si>
    <t xml:space="preserve">Ce score est un signal de positionnement, pas un verdict définitif : il croise votre auto-évaluation (confiance) avec la pertinence marché déclarée et le volume de preuves quantifiables réunies. Un score faible signale surtout qu'il reste du travail de formalisation, pas nécessairement un manque d'expérience réelle.</t>
  </si>
</sst>
</file>

<file path=xl/styles.xml><?xml version="1.0" encoding="utf-8"?>
<styleSheet xmlns="http://schemas.openxmlformats.org/spreadsheetml/2006/main">
  <numFmts count="4">
    <numFmt numFmtId="164" formatCode="General"/>
    <numFmt numFmtId="165" formatCode="0.0"/>
    <numFmt numFmtId="166" formatCode="0\ %"/>
    <numFmt numFmtId="167" formatCode="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6B7280"/>
      <name val="Arial"/>
      <family val="0"/>
      <charset val="1"/>
    </font>
    <font>
      <i val="true"/>
      <sz val="9"/>
      <color rgb="FF6B7280"/>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color rgb="FF1E3A8A"/>
      <name val="Arial"/>
      <family val="0"/>
      <charset val="1"/>
    </font>
    <font>
      <b val="true"/>
      <sz val="12"/>
      <color rgb="FFFFFFFF"/>
      <name val="Arial"/>
      <family val="0"/>
      <charset val="1"/>
    </font>
  </fonts>
  <fills count="5">
    <fill>
      <patternFill patternType="none"/>
    </fill>
    <fill>
      <patternFill patternType="gray125"/>
    </fill>
    <fill>
      <patternFill patternType="solid">
        <fgColor rgb="FF1E3A8A"/>
        <bgColor rgb="FF003366"/>
      </patternFill>
    </fill>
    <fill>
      <patternFill patternType="solid">
        <fgColor rgb="FF047857"/>
        <bgColor rgb="FF008080"/>
      </patternFill>
    </fill>
    <fill>
      <patternFill patternType="solid">
        <fgColor rgb="FFECFDF5"/>
        <bgColor rgb="FFFFFFFF"/>
      </patternFill>
    </fill>
  </fills>
  <borders count="3">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center" vertical="center" textRotation="0" wrapText="false" indent="0" shrinkToFit="false"/>
      <protection locked="true" hidden="false"/>
    </xf>
    <xf numFmtId="165" fontId="9" fillId="0" borderId="0" xfId="0" applyFont="true" applyBorder="false" applyAlignment="true" applyProtection="false">
      <alignment horizontal="center" vertical="center" textRotation="0" wrapText="false" indent="0" shrinkToFit="false"/>
      <protection locked="true" hidden="false"/>
    </xf>
    <xf numFmtId="166" fontId="9" fillId="0" borderId="0" xfId="0" applyFont="true" applyBorder="false" applyAlignment="true" applyProtection="false">
      <alignment horizontal="center" vertical="center"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CFDF5"/>
        </patternFill>
      </fill>
    </dxf>
    <dxf>
      <fill>
        <patternFill>
          <bgColor rgb="FF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47857"/>
      <rgbColor rgb="FFC0C0C0"/>
      <rgbColor rgb="FF808080"/>
      <rgbColor rgb="FF9999FF"/>
      <rgbColor rgb="FF993366"/>
      <rgbColor rgb="FFECFDF5"/>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EE2E2"/>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1E3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46"/>
    <col collapsed="false" customWidth="true" hidden="false" outlineLevel="0" max="4" min="4" style="0" width="24"/>
    <col collapsed="false" customWidth="true" hidden="false" outlineLevel="0" max="5" min="5" style="0" width="30"/>
    <col collapsed="false" customWidth="true" hidden="false" outlineLevel="0" max="6" min="6" style="0" width="16"/>
  </cols>
  <sheetData>
    <row r="1" customFormat="false" ht="27.75" hidden="false" customHeight="true" outlineLevel="0" collapsed="false">
      <c r="A1" s="1" t="s">
        <v>0</v>
      </c>
      <c r="B1" s="1"/>
      <c r="C1" s="1"/>
      <c r="D1" s="1"/>
      <c r="E1" s="1"/>
      <c r="F1" s="1"/>
    </row>
    <row r="2" customFormat="false" ht="15" hidden="false" customHeight="true" outlineLevel="0" collapsed="false">
      <c r="A2" s="2" t="s">
        <v>1</v>
      </c>
      <c r="B2" s="2"/>
      <c r="C2" s="2"/>
      <c r="D2" s="2"/>
      <c r="E2" s="2"/>
      <c r="F2" s="2"/>
    </row>
    <row r="3" customFormat="false" ht="30" hidden="false" customHeight="true" outlineLevel="0" collapsed="false">
      <c r="A3" s="3" t="s">
        <v>2</v>
      </c>
      <c r="B3" s="3"/>
      <c r="C3" s="3"/>
      <c r="D3" s="3"/>
      <c r="E3" s="3"/>
      <c r="F3" s="3"/>
    </row>
    <row r="5" customFormat="false" ht="31.5" hidden="false" customHeight="true" outlineLevel="0" collapsed="false">
      <c r="A5" s="4" t="s">
        <v>3</v>
      </c>
      <c r="B5" s="4" t="s">
        <v>4</v>
      </c>
      <c r="C5" s="4" t="s">
        <v>5</v>
      </c>
      <c r="D5" s="4" t="s">
        <v>6</v>
      </c>
      <c r="E5" s="4" t="s">
        <v>7</v>
      </c>
      <c r="F5" s="4" t="s">
        <v>8</v>
      </c>
    </row>
    <row r="6" customFormat="false" ht="30" hidden="false" customHeight="true" outlineLevel="0" collapsed="false">
      <c r="A6" s="5"/>
      <c r="B6" s="5"/>
      <c r="C6" s="5"/>
      <c r="D6" s="5"/>
      <c r="E6" s="5"/>
      <c r="F6" s="5"/>
    </row>
    <row r="7" customFormat="false" ht="30" hidden="false" customHeight="true" outlineLevel="0" collapsed="false">
      <c r="A7" s="6"/>
      <c r="B7" s="6"/>
      <c r="C7" s="6"/>
      <c r="D7" s="6"/>
      <c r="E7" s="6"/>
      <c r="F7" s="6"/>
    </row>
    <row r="8" customFormat="false" ht="30" hidden="false" customHeight="true" outlineLevel="0" collapsed="false">
      <c r="A8" s="5"/>
      <c r="B8" s="5"/>
      <c r="C8" s="5"/>
      <c r="D8" s="5"/>
      <c r="E8" s="5"/>
      <c r="F8" s="5"/>
    </row>
    <row r="9" customFormat="false" ht="30" hidden="false" customHeight="true" outlineLevel="0" collapsed="false">
      <c r="A9" s="6"/>
      <c r="B9" s="6"/>
      <c r="C9" s="6"/>
      <c r="D9" s="6"/>
      <c r="E9" s="6"/>
      <c r="F9" s="6"/>
    </row>
    <row r="10" customFormat="false" ht="30" hidden="false" customHeight="true" outlineLevel="0" collapsed="false">
      <c r="A10" s="5"/>
      <c r="B10" s="5"/>
      <c r="C10" s="5"/>
      <c r="D10" s="5"/>
      <c r="E10" s="5"/>
      <c r="F10" s="5"/>
    </row>
    <row r="11" customFormat="false" ht="30" hidden="false" customHeight="true" outlineLevel="0" collapsed="false">
      <c r="A11" s="6"/>
      <c r="B11" s="6"/>
      <c r="C11" s="6"/>
      <c r="D11" s="6"/>
      <c r="E11" s="6"/>
      <c r="F11" s="6"/>
    </row>
    <row r="12" customFormat="false" ht="30" hidden="false" customHeight="true" outlineLevel="0" collapsed="false">
      <c r="A12" s="5"/>
      <c r="B12" s="5"/>
      <c r="C12" s="5"/>
      <c r="D12" s="5"/>
      <c r="E12" s="5"/>
      <c r="F12" s="5"/>
    </row>
    <row r="13" customFormat="false" ht="30" hidden="false" customHeight="true" outlineLevel="0" collapsed="false">
      <c r="A13" s="6"/>
      <c r="B13" s="6"/>
      <c r="C13" s="6"/>
      <c r="D13" s="6"/>
      <c r="E13" s="6"/>
      <c r="F13" s="6"/>
    </row>
    <row r="14" customFormat="false" ht="30" hidden="false" customHeight="true" outlineLevel="0" collapsed="false">
      <c r="A14" s="5"/>
      <c r="B14" s="5"/>
      <c r="C14" s="5"/>
      <c r="D14" s="5"/>
      <c r="E14" s="5"/>
      <c r="F14" s="5"/>
    </row>
    <row r="15" customFormat="false" ht="30" hidden="false" customHeight="true" outlineLevel="0" collapsed="false">
      <c r="A15" s="6"/>
      <c r="B15" s="6"/>
      <c r="C15" s="6"/>
      <c r="D15" s="6"/>
      <c r="E15" s="6"/>
      <c r="F15" s="6"/>
    </row>
    <row r="16" customFormat="false" ht="30" hidden="false" customHeight="true" outlineLevel="0" collapsed="false">
      <c r="A16" s="5"/>
      <c r="B16" s="5"/>
      <c r="C16" s="5"/>
      <c r="D16" s="5"/>
      <c r="E16" s="5"/>
      <c r="F16" s="5"/>
    </row>
    <row r="17" customFormat="false" ht="30" hidden="false" customHeight="true" outlineLevel="0" collapsed="false">
      <c r="A17" s="6"/>
      <c r="B17" s="6"/>
      <c r="C17" s="6"/>
      <c r="D17" s="6"/>
      <c r="E17" s="6"/>
      <c r="F17" s="6"/>
    </row>
    <row r="18" customFormat="false" ht="30" hidden="false" customHeight="true" outlineLevel="0" collapsed="false">
      <c r="A18" s="5"/>
      <c r="B18" s="5"/>
      <c r="C18" s="5"/>
      <c r="D18" s="5"/>
      <c r="E18" s="5"/>
      <c r="F18" s="5"/>
    </row>
    <row r="19" customFormat="false" ht="30" hidden="false" customHeight="true" outlineLevel="0" collapsed="false">
      <c r="A19" s="6"/>
      <c r="B19" s="6"/>
      <c r="C19" s="6"/>
      <c r="D19" s="6"/>
      <c r="E19" s="6"/>
      <c r="F19" s="6"/>
    </row>
    <row r="20" customFormat="false" ht="30" hidden="false" customHeight="true" outlineLevel="0" collapsed="false">
      <c r="A20" s="5"/>
      <c r="B20" s="5"/>
      <c r="C20" s="5"/>
      <c r="D20" s="5"/>
      <c r="E20" s="5"/>
      <c r="F20" s="5"/>
    </row>
    <row r="21" customFormat="false" ht="30" hidden="false" customHeight="true" outlineLevel="0" collapsed="false">
      <c r="A21" s="6"/>
      <c r="B21" s="6"/>
      <c r="C21" s="6"/>
      <c r="D21" s="6"/>
      <c r="E21" s="6"/>
      <c r="F21" s="6"/>
    </row>
  </sheetData>
  <mergeCells count="3">
    <mergeCell ref="A1:F1"/>
    <mergeCell ref="A2:F2"/>
    <mergeCell ref="A3:F3"/>
  </mergeCells>
  <dataValidations count="1">
    <dataValidation allowBlank="true" errorStyle="stop" operator="between" showDropDown="false" showErrorMessage="false" showInputMessage="false" sqref="F6:F21" type="list">
      <formula1>"Oui,Non"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cols>
    <col collapsed="false" customWidth="true" hidden="false" outlineLevel="0" max="1" min="1" style="0" width="32"/>
    <col collapsed="false" customWidth="true" hidden="false" outlineLevel="0" max="2" min="2" style="0" width="26"/>
    <col collapsed="false" customWidth="true" hidden="false" outlineLevel="0" max="3" min="3" style="0" width="18"/>
    <col collapsed="false" customWidth="true" hidden="false" outlineLevel="0" max="4" min="4" style="0" width="26"/>
    <col collapsed="false" customWidth="true" hidden="false" outlineLevel="0" max="5" min="5" style="0" width="20"/>
  </cols>
  <sheetData>
    <row r="1" customFormat="false" ht="27.75" hidden="false" customHeight="true" outlineLevel="0" collapsed="false">
      <c r="A1" s="1" t="s">
        <v>9</v>
      </c>
      <c r="B1" s="1"/>
      <c r="C1" s="1"/>
      <c r="D1" s="1"/>
      <c r="E1" s="1"/>
    </row>
    <row r="2" customFormat="false" ht="15" hidden="false" customHeight="true" outlineLevel="0" collapsed="false">
      <c r="A2" s="2" t="s">
        <v>10</v>
      </c>
      <c r="B2" s="2"/>
      <c r="C2" s="2"/>
      <c r="D2" s="2"/>
      <c r="E2" s="2"/>
    </row>
    <row r="3" customFormat="false" ht="30" hidden="false" customHeight="true" outlineLevel="0" collapsed="false">
      <c r="A3" s="3" t="s">
        <v>11</v>
      </c>
      <c r="B3" s="3"/>
      <c r="C3" s="3"/>
      <c r="D3" s="3"/>
      <c r="E3" s="3"/>
    </row>
    <row r="5" customFormat="false" ht="31.5" hidden="false" customHeight="true" outlineLevel="0" collapsed="false">
      <c r="A5" s="4" t="s">
        <v>12</v>
      </c>
      <c r="B5" s="4" t="s">
        <v>13</v>
      </c>
      <c r="C5" s="4" t="s">
        <v>14</v>
      </c>
      <c r="D5" s="4" t="s">
        <v>15</v>
      </c>
      <c r="E5" s="4" t="s">
        <v>16</v>
      </c>
    </row>
    <row r="6" customFormat="false" ht="30" hidden="false" customHeight="true" outlineLevel="0" collapsed="false">
      <c r="A6" s="5"/>
      <c r="B6" s="5"/>
      <c r="C6" s="7"/>
      <c r="D6" s="7"/>
      <c r="E6" s="8" t="str">
        <f aca="false">IF(AND(C6&lt;&gt;"",D6&lt;&gt;""),C6*D6,"")</f>
        <v/>
      </c>
    </row>
    <row r="7" customFormat="false" ht="30" hidden="false" customHeight="true" outlineLevel="0" collapsed="false">
      <c r="A7" s="6"/>
      <c r="B7" s="6"/>
      <c r="C7" s="9"/>
      <c r="D7" s="9"/>
      <c r="E7" s="10" t="str">
        <f aca="false">IF(AND(C7&lt;&gt;"",D7&lt;&gt;""),C7*D7,"")</f>
        <v/>
      </c>
    </row>
    <row r="8" customFormat="false" ht="30" hidden="false" customHeight="true" outlineLevel="0" collapsed="false">
      <c r="A8" s="5"/>
      <c r="B8" s="5"/>
      <c r="C8" s="7"/>
      <c r="D8" s="7"/>
      <c r="E8" s="8" t="str">
        <f aca="false">IF(AND(C8&lt;&gt;"",D8&lt;&gt;""),C8*D8,"")</f>
        <v/>
      </c>
    </row>
    <row r="9" customFormat="false" ht="30" hidden="false" customHeight="true" outlineLevel="0" collapsed="false">
      <c r="A9" s="6"/>
      <c r="B9" s="6"/>
      <c r="C9" s="9"/>
      <c r="D9" s="9"/>
      <c r="E9" s="10" t="str">
        <f aca="false">IF(AND(C9&lt;&gt;"",D9&lt;&gt;""),C9*D9,"")</f>
        <v/>
      </c>
    </row>
    <row r="10" customFormat="false" ht="30" hidden="false" customHeight="true" outlineLevel="0" collapsed="false">
      <c r="A10" s="5"/>
      <c r="B10" s="5"/>
      <c r="C10" s="7"/>
      <c r="D10" s="7"/>
      <c r="E10" s="8" t="str">
        <f aca="false">IF(AND(C10&lt;&gt;"",D10&lt;&gt;""),C10*D10,"")</f>
        <v/>
      </c>
    </row>
    <row r="11" customFormat="false" ht="30" hidden="false" customHeight="true" outlineLevel="0" collapsed="false">
      <c r="A11" s="6"/>
      <c r="B11" s="6"/>
      <c r="C11" s="9"/>
      <c r="D11" s="9"/>
      <c r="E11" s="10" t="str">
        <f aca="false">IF(AND(C11&lt;&gt;"",D11&lt;&gt;""),C11*D11,"")</f>
        <v/>
      </c>
    </row>
    <row r="12" customFormat="false" ht="30" hidden="false" customHeight="true" outlineLevel="0" collapsed="false">
      <c r="A12" s="5"/>
      <c r="B12" s="5"/>
      <c r="C12" s="7"/>
      <c r="D12" s="7"/>
      <c r="E12" s="8" t="str">
        <f aca="false">IF(AND(C12&lt;&gt;"",D12&lt;&gt;""),C12*D12,"")</f>
        <v/>
      </c>
    </row>
    <row r="13" customFormat="false" ht="30" hidden="false" customHeight="true" outlineLevel="0" collapsed="false">
      <c r="A13" s="6"/>
      <c r="B13" s="6"/>
      <c r="C13" s="9"/>
      <c r="D13" s="9"/>
      <c r="E13" s="10" t="str">
        <f aca="false">IF(AND(C13&lt;&gt;"",D13&lt;&gt;""),C13*D13,"")</f>
        <v/>
      </c>
    </row>
    <row r="14" customFormat="false" ht="30" hidden="false" customHeight="true" outlineLevel="0" collapsed="false">
      <c r="A14" s="5"/>
      <c r="B14" s="5"/>
      <c r="C14" s="7"/>
      <c r="D14" s="7"/>
      <c r="E14" s="8" t="str">
        <f aca="false">IF(AND(C14&lt;&gt;"",D14&lt;&gt;""),C14*D14,"")</f>
        <v/>
      </c>
    </row>
    <row r="15" customFormat="false" ht="30" hidden="false" customHeight="true" outlineLevel="0" collapsed="false">
      <c r="A15" s="6"/>
      <c r="B15" s="6"/>
      <c r="C15" s="9"/>
      <c r="D15" s="9"/>
      <c r="E15" s="10" t="str">
        <f aca="false">IF(AND(C15&lt;&gt;"",D15&lt;&gt;""),C15*D15,"")</f>
        <v/>
      </c>
    </row>
    <row r="16" customFormat="false" ht="30" hidden="false" customHeight="true" outlineLevel="0" collapsed="false">
      <c r="A16" s="5"/>
      <c r="B16" s="5"/>
      <c r="C16" s="7"/>
      <c r="D16" s="7"/>
      <c r="E16" s="8" t="str">
        <f aca="false">IF(AND(C16&lt;&gt;"",D16&lt;&gt;""),C16*D16,"")</f>
        <v/>
      </c>
    </row>
    <row r="17" customFormat="false" ht="30" hidden="false" customHeight="true" outlineLevel="0" collapsed="false">
      <c r="A17" s="6"/>
      <c r="B17" s="6"/>
      <c r="C17" s="9"/>
      <c r="D17" s="9"/>
      <c r="E17" s="10" t="str">
        <f aca="false">IF(AND(C17&lt;&gt;"",D17&lt;&gt;""),C17*D17,"")</f>
        <v/>
      </c>
    </row>
    <row r="18" customFormat="false" ht="30" hidden="false" customHeight="true" outlineLevel="0" collapsed="false">
      <c r="A18" s="5"/>
      <c r="B18" s="5"/>
      <c r="C18" s="7"/>
      <c r="D18" s="7"/>
      <c r="E18" s="8" t="str">
        <f aca="false">IF(AND(C18&lt;&gt;"",D18&lt;&gt;""),C18*D18,"")</f>
        <v/>
      </c>
    </row>
    <row r="19" customFormat="false" ht="30" hidden="false" customHeight="true" outlineLevel="0" collapsed="false">
      <c r="A19" s="6"/>
      <c r="B19" s="6"/>
      <c r="C19" s="9"/>
      <c r="D19" s="9"/>
      <c r="E19" s="10" t="str">
        <f aca="false">IF(AND(C19&lt;&gt;"",D19&lt;&gt;""),C19*D19,"")</f>
        <v/>
      </c>
    </row>
    <row r="21" customFormat="false" ht="15" hidden="false" customHeight="false" outlineLevel="0" collapsed="false">
      <c r="A21" s="11" t="s">
        <v>17</v>
      </c>
      <c r="C21" s="12" t="n">
        <f aca="false">COUNT(C6:C19)</f>
        <v>0</v>
      </c>
    </row>
    <row r="22" customFormat="false" ht="15" hidden="false" customHeight="false" outlineLevel="0" collapsed="false">
      <c r="A22" s="11" t="s">
        <v>18</v>
      </c>
      <c r="C22" s="13" t="n">
        <f aca="false">IFERROR(AVERAGE(C6:C19),0)</f>
        <v>0</v>
      </c>
    </row>
    <row r="23" customFormat="false" ht="15" hidden="false" customHeight="false" outlineLevel="0" collapsed="false">
      <c r="A23" s="11" t="s">
        <v>19</v>
      </c>
      <c r="C23" s="13" t="n">
        <f aca="false">IFERROR(AVERAGE(D6:D19),0)</f>
        <v>0</v>
      </c>
    </row>
    <row r="24" customFormat="false" ht="15" hidden="false" customHeight="false" outlineLevel="0" collapsed="false">
      <c r="A24" s="11" t="s">
        <v>20</v>
      </c>
      <c r="C24" s="14" t="n">
        <f aca="false">IFERROR(COUNTIF(D6:D19,"&gt;=4")/COUNT(D6:D19),0)</f>
        <v>0</v>
      </c>
    </row>
  </sheetData>
  <mergeCells count="3">
    <mergeCell ref="A1:E1"/>
    <mergeCell ref="A2:E2"/>
    <mergeCell ref="A3:E3"/>
  </mergeCells>
  <conditionalFormatting sqref="E6:E19">
    <cfRule type="cellIs" priority="2" operator="greaterThanOrEqual" aboveAverage="0" equalAverage="0" bottom="0" percent="0" rank="0" text="" dxfId="0">
      <formula>16</formula>
    </cfRule>
    <cfRule type="cellIs" priority="3" operator="lessThan" aboveAverage="0" equalAverage="0" bottom="0" percent="0" rank="0" text="" dxfId="1">
      <formula>9</formula>
    </cfRule>
  </conditionalFormatting>
  <dataValidations count="2">
    <dataValidation allowBlank="true" errorStyle="stop" operator="between" showDropDown="false" showErrorMessage="false" showInputMessage="false" sqref="B6:B19" type="list">
      <formula1>"Opérationnelle,Managériale,Transférable"</formula1>
      <formula2>0</formula2>
    </dataValidation>
    <dataValidation allowBlank="true" error="Entrez une valeur entre 1 et 5." errorStyle="stop" errorTitle="Valeur invalide" operator="between" showDropDown="false" showErrorMessage="false" showInputMessage="false" sqref="C6:D19"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26"/>
  </cols>
  <sheetData>
    <row r="1" customFormat="false" ht="27.75" hidden="false" customHeight="true" outlineLevel="0" collapsed="false">
      <c r="A1" s="1" t="s">
        <v>21</v>
      </c>
      <c r="B1" s="1"/>
      <c r="C1" s="1"/>
    </row>
    <row r="2" customFormat="false" ht="15" hidden="false" customHeight="true" outlineLevel="0" collapsed="false">
      <c r="A2" s="2" t="s">
        <v>22</v>
      </c>
      <c r="B2" s="2"/>
      <c r="C2" s="2"/>
    </row>
    <row r="4" customFormat="false" ht="19.5" hidden="false" customHeight="true" outlineLevel="0" collapsed="false">
      <c r="A4" s="15" t="s">
        <v>23</v>
      </c>
      <c r="B4" s="15"/>
      <c r="C4" s="15"/>
    </row>
    <row r="5" customFormat="false" ht="21.75" hidden="false" customHeight="true" outlineLevel="0" collapsed="false">
      <c r="A5" s="16" t="s">
        <v>24</v>
      </c>
      <c r="B5" s="16"/>
      <c r="C5" s="17"/>
    </row>
    <row r="6" customFormat="false" ht="21.75" hidden="false" customHeight="true" outlineLevel="0" collapsed="false">
      <c r="A6" s="16" t="s">
        <v>25</v>
      </c>
      <c r="B6" s="16"/>
      <c r="C6" s="17"/>
    </row>
    <row r="7" customFormat="false" ht="21.75" hidden="false" customHeight="true" outlineLevel="0" collapsed="false">
      <c r="A7" s="16" t="s">
        <v>26</v>
      </c>
      <c r="B7" s="16"/>
      <c r="C7" s="17"/>
    </row>
    <row r="9" customFormat="false" ht="19.5" hidden="false" customHeight="true" outlineLevel="0" collapsed="false">
      <c r="A9" s="15" t="s">
        <v>27</v>
      </c>
      <c r="B9" s="15"/>
      <c r="C9" s="15"/>
    </row>
    <row r="10" customFormat="false" ht="21.75" hidden="false" customHeight="true" outlineLevel="0" collapsed="false">
      <c r="A10" s="16" t="s">
        <v>28</v>
      </c>
      <c r="B10" s="16"/>
      <c r="C10" s="18" t="n">
        <f aca="false">COUNTIF(Réalisations!C6:C21,"?*")</f>
        <v>0</v>
      </c>
    </row>
    <row r="11" customFormat="false" ht="21.75" hidden="false" customHeight="true" outlineLevel="0" collapsed="false">
      <c r="A11" s="16" t="s">
        <v>29</v>
      </c>
      <c r="B11" s="16"/>
      <c r="C11" s="18" t="n">
        <f aca="false">COUNTIF(Compétences!B6:B19,"Managériale")</f>
        <v>0</v>
      </c>
    </row>
    <row r="12" customFormat="false" ht="21.75" hidden="false" customHeight="true" outlineLevel="0" collapsed="false">
      <c r="A12" s="16" t="s">
        <v>18</v>
      </c>
      <c r="B12" s="16"/>
      <c r="C12" s="19" t="n">
        <f aca="false">IFERROR(ROUND(Compétences!C22,1),0)</f>
        <v>0</v>
      </c>
    </row>
    <row r="13" customFormat="false" ht="21.75" hidden="false" customHeight="true" outlineLevel="0" collapsed="false">
      <c r="A13" s="16" t="s">
        <v>19</v>
      </c>
      <c r="B13" s="16"/>
      <c r="C13" s="19" t="n">
        <f aca="false">IFERROR(ROUND(Compétences!C23,1),0)</f>
        <v>0</v>
      </c>
    </row>
    <row r="14" customFormat="false" ht="21.75" hidden="false" customHeight="true" outlineLevel="0" collapsed="false">
      <c r="A14" s="16" t="s">
        <v>30</v>
      </c>
      <c r="B14" s="16"/>
      <c r="C14" s="20" t="n">
        <f aca="false">Compétences!C24</f>
        <v>0</v>
      </c>
    </row>
    <row r="16" customFormat="false" ht="25.5" hidden="false" customHeight="true" outlineLevel="0" collapsed="false">
      <c r="A16" s="21" t="s">
        <v>31</v>
      </c>
      <c r="B16" s="21"/>
      <c r="C16" s="22" t="n">
        <f aca="false">ROUND((Compétences!C22/5*40)+(Compétences!C23/5*40)+(MIN(COUNTIF(Réalisations!C6:C21,"?*"),8)/8*20),0)</f>
        <v>0</v>
      </c>
    </row>
    <row r="17" customFormat="false" ht="39.75" hidden="false" customHeight="true" outlineLevel="0" collapsed="false">
      <c r="A17" s="23" t="s">
        <v>32</v>
      </c>
      <c r="B17" s="23"/>
      <c r="C17" s="24" t="str">
        <f aca="false">IF(C16="","",IF(C16&gt;=75,"Profil déjà aligné avec la cible déclarée — vous pouvez candidater.",IF(C16&gt;=50,"Profil partiellement aligné — un écart subsiste, à traiter dans la feuille de route.","Écart important avec la cible — revoir le positionnement ou renforcer le profil avant de candidater.")))</f>
        <v>Écart important avec la cible — revoir le positionnement ou renforcer le profil avant de candidater.</v>
      </c>
    </row>
    <row r="19" customFormat="false" ht="15" hidden="false" customHeight="true" outlineLevel="0" collapsed="false">
      <c r="A19" s="25" t="s">
        <v>33</v>
      </c>
      <c r="B19" s="25"/>
      <c r="C19" s="25"/>
    </row>
    <row r="20" customFormat="false" ht="15" hidden="false" customHeight="false" outlineLevel="0" collapsed="false">
      <c r="A20" s="25"/>
      <c r="B20" s="25"/>
      <c r="C20" s="25"/>
    </row>
    <row r="21" customFormat="false" ht="15" hidden="false" customHeight="false" outlineLevel="0" collapsed="false">
      <c r="A21" s="25"/>
      <c r="B21" s="25"/>
      <c r="C21" s="25"/>
    </row>
  </sheetData>
  <mergeCells count="15">
    <mergeCell ref="A1:C1"/>
    <mergeCell ref="A2:C2"/>
    <mergeCell ref="A4:C4"/>
    <mergeCell ref="A5:B5"/>
    <mergeCell ref="A6:B6"/>
    <mergeCell ref="A7:B7"/>
    <mergeCell ref="A9:C9"/>
    <mergeCell ref="A10:B10"/>
    <mergeCell ref="A11:B11"/>
    <mergeCell ref="A12:B12"/>
    <mergeCell ref="A13:B13"/>
    <mergeCell ref="A14:B14"/>
    <mergeCell ref="A16:B16"/>
    <mergeCell ref="A17:B17"/>
    <mergeCell ref="A19: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2026-09-10T06:29:08Z</dcterms:created>
  <dc:creator>openpyxl</dc:creator>
  <dc:description/>
  <dc:language>fr-FR</dc:language>
  <cp:lastModifiedBy/>
  <dcterms:modified xsi:type="dcterms:W3CDTF">2026-09-10T06:29:08Z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