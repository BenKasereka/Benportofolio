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ntraînement" sheetId="1" state="visible" r:id="rId3"/>
    <sheet name="Progress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<sst xmlns="http://schemas.openxmlformats.org/spreadsheetml/2006/main" count="41" uniqueCount="36">
  <si>
    <t xml:space="preserve">GRILLE D'ENTRAÎNEMENT AUX TESTS TECHNIQUES CHRONOMÉTRÉS</t>
  </si>
  <si>
    <t xml:space="preserve">Module 04 — Préparation aux Tests Techniques &amp; Études de Cas — BK-BOOST Ltd.</t>
  </si>
  <si>
    <t xml:space="preserve">Date</t>
  </si>
  <si>
    <t xml:space="preserve">Type de test</t>
  </si>
  <si>
    <t xml:space="preserve">Secteur</t>
  </si>
  <si>
    <t xml:space="preserve">Temps alloué (min)</t>
  </si>
  <si>
    <t xml:space="preserve">Temps réel pris (min)</t>
  </si>
  <si>
    <t xml:space="preserve">Écart (min)</t>
  </si>
  <si>
    <t xml:space="preserve">Score auto-évalué (/10)</t>
  </si>
  <si>
    <t xml:space="preserve">Points à améliorer</t>
  </si>
  <si>
    <t xml:space="preserve">Statut</t>
  </si>
  <si>
    <t xml:space="preserve">2026-08-10</t>
  </si>
  <si>
    <t xml:space="preserve">Test technique écrit</t>
  </si>
  <si>
    <t xml:space="preserve">Supply Chain</t>
  </si>
  <si>
    <t xml:space="preserve">Gestion des priorités sous pression, calculs de ratios trop lents</t>
  </si>
  <si>
    <t xml:space="preserve">Terminé</t>
  </si>
  <si>
    <t xml:space="preserve">2026-08-14</t>
  </si>
  <si>
    <t xml:space="preserve">Étude de cas</t>
  </si>
  <si>
    <t xml:space="preserve">Finance</t>
  </si>
  <si>
    <t xml:space="preserve">Justification chiffrée insuffisante face aux questions du jury</t>
  </si>
  <si>
    <t xml:space="preserve">2026-08-19</t>
  </si>
  <si>
    <t xml:space="preserve">Simulation orale (défense)</t>
  </si>
  <si>
    <t xml:space="preserve">RH</t>
  </si>
  <si>
    <t xml:space="preserve">Manque d'assurance quand challengé, recul trop rapide devant l'objection</t>
  </si>
  <si>
    <t xml:space="preserve">À refaire</t>
  </si>
  <si>
    <t xml:space="preserve">Légende : complétez les lignes vides ci-dessus après chaque séance chronométrée. Les 3 premières lignes sont des exemples de référence.</t>
  </si>
  <si>
    <t xml:space="preserve">PROGRESSION DES ENTRAÎNEMENTS PAR SECTEUR</t>
  </si>
  <si>
    <t xml:space="preserve">Calculée automatiquement à partir de l'onglet Entraînement — ne pas modifier les formules.</t>
  </si>
  <si>
    <t xml:space="preserve">Nombre de séances enregistrées</t>
  </si>
  <si>
    <t xml:space="preserve">Temps moyen alloué (min)</t>
  </si>
  <si>
    <t xml:space="preserve">Temps moyen réel (min)</t>
  </si>
  <si>
    <t xml:space="preserve">Écart moyen (min)</t>
  </si>
  <si>
    <t xml:space="preserve">Score moyen auto-évalué (/10)</t>
  </si>
  <si>
    <t xml:space="preserve">Gestion de projet</t>
  </si>
  <si>
    <t xml:space="preserve">TOTAL / Ensemble des séances</t>
  </si>
  <si>
    <t xml:space="preserve">Lecture : un écart moyen positif signifie que vous dépassez systématiquement le temps alloué — travaillez la gestion du temps avant le fond technique sur ce secteur.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</si>
</sst>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5" min="3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42"/>
    <col collapsed="false" customWidth="true" hidden="false" outlineLevel="0" max="9" min="9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4" hidden="false" customHeight="true" outlineLevel="0" collapsed="false">
      <c r="A5" s="4" t="s">
        <v>11</v>
      </c>
      <c r="B5" s="4" t="s">
        <v>12</v>
      </c>
      <c r="C5" s="4" t="s">
        <v>13</v>
      </c>
      <c r="D5" s="4" t="n">
        <v>45</v>
      </c>
      <c r="E5" s="4" t="n">
        <v>52</v>
      </c>
      <c r="F5" s="4" t="n">
        <f aca="false">E5-D5</f>
        <v>7</v>
      </c>
      <c r="G5" s="4" t="n">
        <v>6</v>
      </c>
      <c r="H5" s="5" t="s">
        <v>14</v>
      </c>
      <c r="I5" s="4" t="s">
        <v>15</v>
      </c>
    </row>
    <row r="6" customFormat="false" ht="24" hidden="false" customHeight="true" outlineLevel="0" collapsed="false">
      <c r="A6" s="6" t="s">
        <v>16</v>
      </c>
      <c r="B6" s="6" t="s">
        <v>17</v>
      </c>
      <c r="C6" s="6" t="s">
        <v>18</v>
      </c>
      <c r="D6" s="6" t="n">
        <v>60</v>
      </c>
      <c r="E6" s="6" t="n">
        <v>58</v>
      </c>
      <c r="F6" s="6" t="n">
        <f aca="false">E6-D6</f>
        <v>-2</v>
      </c>
      <c r="G6" s="6" t="n">
        <v>7</v>
      </c>
      <c r="H6" s="7" t="s">
        <v>19</v>
      </c>
      <c r="I6" s="6" t="s">
        <v>15</v>
      </c>
    </row>
    <row r="7" customFormat="false" ht="24" hidden="false" customHeight="true" outlineLevel="0" collapsed="false">
      <c r="A7" s="4" t="s">
        <v>20</v>
      </c>
      <c r="B7" s="4" t="s">
        <v>21</v>
      </c>
      <c r="C7" s="4" t="s">
        <v>22</v>
      </c>
      <c r="D7" s="4" t="n">
        <v>30</v>
      </c>
      <c r="E7" s="4" t="n">
        <v>35</v>
      </c>
      <c r="F7" s="4" t="n">
        <f aca="false">E7-D7</f>
        <v>5</v>
      </c>
      <c r="G7" s="4" t="n">
        <v>5</v>
      </c>
      <c r="H7" s="5" t="s">
        <v>23</v>
      </c>
      <c r="I7" s="4" t="s">
        <v>24</v>
      </c>
    </row>
    <row r="8" customFormat="false" ht="15" hidden="false" customHeight="true" outlineLevel="0" collapsed="false">
      <c r="A8" s="6"/>
      <c r="B8" s="6"/>
      <c r="C8" s="6"/>
      <c r="D8" s="6"/>
      <c r="E8" s="6"/>
      <c r="F8" s="6" t="str">
        <f aca="false">IF(OR(D8="",E8=""),"",E8-D8)</f>
        <v/>
      </c>
      <c r="G8" s="6"/>
      <c r="H8" s="6"/>
      <c r="I8" s="6"/>
    </row>
    <row r="9" customFormat="false" ht="15" hidden="false" customHeight="true" outlineLevel="0" collapsed="false">
      <c r="A9" s="4"/>
      <c r="B9" s="4"/>
      <c r="C9" s="4"/>
      <c r="D9" s="4"/>
      <c r="E9" s="4"/>
      <c r="F9" s="4" t="str">
        <f aca="false">IF(OR(D9="",E9=""),"",E9-D9)</f>
        <v/>
      </c>
      <c r="G9" s="4"/>
      <c r="H9" s="4"/>
      <c r="I9" s="4"/>
    </row>
    <row r="10" customFormat="false" ht="15" hidden="false" customHeight="true" outlineLevel="0" collapsed="false">
      <c r="A10" s="6"/>
      <c r="B10" s="6"/>
      <c r="C10" s="6"/>
      <c r="D10" s="6"/>
      <c r="E10" s="6"/>
      <c r="F10" s="6" t="str">
        <f aca="false">IF(OR(D10="",E10=""),"",E10-D10)</f>
        <v/>
      </c>
      <c r="G10" s="6"/>
      <c r="H10" s="6"/>
      <c r="I10" s="6"/>
    </row>
    <row r="11" customFormat="false" ht="15" hidden="false" customHeight="true" outlineLevel="0" collapsed="false">
      <c r="A11" s="4"/>
      <c r="B11" s="4"/>
      <c r="C11" s="4"/>
      <c r="D11" s="4"/>
      <c r="E11" s="4"/>
      <c r="F11" s="4" t="str">
        <f aca="false">IF(OR(D11="",E11=""),"",E11-D11)</f>
        <v/>
      </c>
      <c r="G11" s="4"/>
      <c r="H11" s="4"/>
      <c r="I11" s="4"/>
    </row>
    <row r="12" customFormat="false" ht="15" hidden="false" customHeight="true" outlineLevel="0" collapsed="false">
      <c r="A12" s="6"/>
      <c r="B12" s="6"/>
      <c r="C12" s="6"/>
      <c r="D12" s="6"/>
      <c r="E12" s="6"/>
      <c r="F12" s="6" t="str">
        <f aca="false">IF(OR(D12="",E12=""),"",E12-D12)</f>
        <v/>
      </c>
      <c r="G12" s="6"/>
      <c r="H12" s="6"/>
      <c r="I12" s="6"/>
    </row>
    <row r="13" customFormat="false" ht="15" hidden="false" customHeight="true" outlineLevel="0" collapsed="false">
      <c r="A13" s="4"/>
      <c r="B13" s="4"/>
      <c r="C13" s="4"/>
      <c r="D13" s="4"/>
      <c r="E13" s="4"/>
      <c r="F13" s="4" t="str">
        <f aca="false">IF(OR(D13="",E13=""),"",E13-D13)</f>
        <v/>
      </c>
      <c r="G13" s="4"/>
      <c r="H13" s="4"/>
      <c r="I13" s="4"/>
    </row>
    <row r="14" customFormat="false" ht="15" hidden="false" customHeight="true" outlineLevel="0" collapsed="false">
      <c r="A14" s="6"/>
      <c r="B14" s="6"/>
      <c r="C14" s="6"/>
      <c r="D14" s="6"/>
      <c r="E14" s="6"/>
      <c r="F14" s="6" t="str">
        <f aca="false">IF(OR(D14="",E14=""),"",E14-D14)</f>
        <v/>
      </c>
      <c r="G14" s="6"/>
      <c r="H14" s="6"/>
      <c r="I14" s="6"/>
    </row>
    <row r="15" customFormat="false" ht="15" hidden="false" customHeight="true" outlineLevel="0" collapsed="false">
      <c r="A15" s="4"/>
      <c r="B15" s="4"/>
      <c r="C15" s="4"/>
      <c r="D15" s="4"/>
      <c r="E15" s="4"/>
      <c r="F15" s="4" t="str">
        <f aca="false">IF(OR(D15="",E15=""),"",E15-D15)</f>
        <v/>
      </c>
      <c r="G15" s="4"/>
      <c r="H15" s="4"/>
      <c r="I15" s="4"/>
    </row>
    <row r="16" customFormat="false" ht="15" hidden="false" customHeight="true" outlineLevel="0" collapsed="false">
      <c r="A16" s="6"/>
      <c r="B16" s="6"/>
      <c r="C16" s="6"/>
      <c r="D16" s="6"/>
      <c r="E16" s="6"/>
      <c r="F16" s="6" t="str">
        <f aca="false">IF(OR(D16="",E16=""),"",E16-D16)</f>
        <v/>
      </c>
      <c r="G16" s="6"/>
      <c r="H16" s="6"/>
      <c r="I16" s="6"/>
    </row>
    <row r="17" customFormat="false" ht="15" hidden="false" customHeight="true" outlineLevel="0" collapsed="false">
      <c r="A17" s="4"/>
      <c r="B17" s="4"/>
      <c r="C17" s="4"/>
      <c r="D17" s="4"/>
      <c r="E17" s="4"/>
      <c r="F17" s="4" t="str">
        <f aca="false">IF(OR(D17="",E17=""),"",E17-D17)</f>
        <v/>
      </c>
      <c r="G17" s="4"/>
      <c r="H17" s="4"/>
      <c r="I17" s="4"/>
    </row>
    <row r="18" customFormat="false" ht="15" hidden="false" customHeight="true" outlineLevel="0" collapsed="false">
      <c r="A18" s="6"/>
      <c r="B18" s="6"/>
      <c r="C18" s="6"/>
      <c r="D18" s="6"/>
      <c r="E18" s="6"/>
      <c r="F18" s="6" t="str">
        <f aca="false">IF(OR(D18="",E18=""),"",E18-D18)</f>
        <v/>
      </c>
      <c r="G18" s="6"/>
      <c r="H18" s="6"/>
      <c r="I18" s="6"/>
    </row>
    <row r="19" customFormat="false" ht="15" hidden="false" customHeight="true" outlineLevel="0" collapsed="false">
      <c r="A19" s="4"/>
      <c r="B19" s="4"/>
      <c r="C19" s="4"/>
      <c r="D19" s="4"/>
      <c r="E19" s="4"/>
      <c r="F19" s="4" t="str">
        <f aca="false">IF(OR(D19="",E19=""),"",E19-D19)</f>
        <v/>
      </c>
      <c r="G19" s="4"/>
      <c r="H19" s="4"/>
      <c r="I19" s="4"/>
    </row>
    <row r="21" customFormat="false" ht="15" hidden="false" customHeight="false" outlineLevel="0" collapsed="false">
      <c r="A21" s="2" t="s">
        <v>25</v>
      </c>
      <c r="B21" s="2"/>
      <c r="C21" s="2"/>
      <c r="D21" s="2"/>
      <c r="E21" s="2"/>
      <c r="F21" s="2"/>
      <c r="G21" s="2"/>
      <c r="H21" s="2"/>
      <c r="I21" s="2"/>
    </row>
  </sheetData>
  <mergeCells count="3">
    <mergeCell ref="A1:I1"/>
    <mergeCell ref="A2:I2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4"/>
  </cols>
  <sheetData>
    <row r="1" customFormat="false" ht="27.75" hidden="false" customHeight="true" outlineLevel="0" collapsed="false">
      <c r="A1" s="1" t="s">
        <v>26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27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3" t="s">
        <v>4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</row>
    <row r="5" customFormat="false" ht="19.5" hidden="false" customHeight="true" outlineLevel="0" collapsed="false">
      <c r="A5" s="4" t="s">
        <v>13</v>
      </c>
      <c r="B5" s="4" t="n">
        <f aca="false">COUNTIF(Entraînement!$C$5:$C$19,A5)</f>
        <v>1</v>
      </c>
      <c r="C5" s="4" t="n">
        <f aca="false">IF(B5=0,"—",ROUND(AVERAGEIF(Entraînement!$C$5:$C$19,A5,Entraînement!$D$5:$D$19),1))</f>
        <v>45</v>
      </c>
      <c r="D5" s="4" t="n">
        <f aca="false">IF(B5=0,"—",ROUND(AVERAGEIF(Entraînement!$C$5:$C$19,A5,Entraînement!$E$5:$E$19),1))</f>
        <v>52</v>
      </c>
      <c r="E5" s="4" t="n">
        <f aca="false">IF(OR(C5="—",D5="—"),"—",ROUND(D5-C5,1))</f>
        <v>7</v>
      </c>
      <c r="F5" s="4" t="n">
        <f aca="false">IF(B5=0,"—",ROUND(AVERAGEIF(Entraînement!$C$5:$C$19,A5,Entraînement!$G$5:$G$19),1))</f>
        <v>6</v>
      </c>
    </row>
    <row r="6" customFormat="false" ht="19.5" hidden="false" customHeight="true" outlineLevel="0" collapsed="false">
      <c r="A6" s="6" t="s">
        <v>18</v>
      </c>
      <c r="B6" s="6" t="n">
        <f aca="false">COUNTIF(Entraînement!$C$5:$C$19,A6)</f>
        <v>1</v>
      </c>
      <c r="C6" s="6" t="n">
        <f aca="false">IF(B6=0,"—",ROUND(AVERAGEIF(Entraînement!$C$5:$C$19,A6,Entraînement!$D$5:$D$19),1))</f>
        <v>60</v>
      </c>
      <c r="D6" s="6" t="n">
        <f aca="false">IF(B6=0,"—",ROUND(AVERAGEIF(Entraînement!$C$5:$C$19,A6,Entraînement!$E$5:$E$19),1))</f>
        <v>58</v>
      </c>
      <c r="E6" s="6" t="n">
        <f aca="false">IF(OR(C6="—",D6="—"),"—",ROUND(D6-C6,1))</f>
        <v>-2</v>
      </c>
      <c r="F6" s="6" t="n">
        <f aca="false">IF(B6=0,"—",ROUND(AVERAGEIF(Entraînement!$C$5:$C$19,A6,Entraînement!$G$5:$G$19),1))</f>
        <v>7</v>
      </c>
    </row>
    <row r="7" customFormat="false" ht="19.5" hidden="false" customHeight="true" outlineLevel="0" collapsed="false">
      <c r="A7" s="4" t="s">
        <v>22</v>
      </c>
      <c r="B7" s="4" t="n">
        <f aca="false">COUNTIF(Entraînement!$C$5:$C$19,A7)</f>
        <v>1</v>
      </c>
      <c r="C7" s="4" t="n">
        <f aca="false">IF(B7=0,"—",ROUND(AVERAGEIF(Entraînement!$C$5:$C$19,A7,Entraînement!$D$5:$D$19),1))</f>
        <v>30</v>
      </c>
      <c r="D7" s="4" t="n">
        <f aca="false">IF(B7=0,"—",ROUND(AVERAGEIF(Entraînement!$C$5:$C$19,A7,Entraînement!$E$5:$E$19),1))</f>
        <v>35</v>
      </c>
      <c r="E7" s="4" t="n">
        <f aca="false">IF(OR(C7="—",D7="—"),"—",ROUND(D7-C7,1))</f>
        <v>5</v>
      </c>
      <c r="F7" s="4" t="n">
        <f aca="false">IF(B7=0,"—",ROUND(AVERAGEIF(Entraînement!$C$5:$C$19,A7,Entraînement!$G$5:$G$19),1))</f>
        <v>5</v>
      </c>
    </row>
    <row r="8" customFormat="false" ht="19.5" hidden="false" customHeight="true" outlineLevel="0" collapsed="false">
      <c r="A8" s="6" t="s">
        <v>33</v>
      </c>
      <c r="B8" s="6" t="n">
        <f aca="false">COUNTIF(Entraînement!$C$5:$C$19,A8)</f>
        <v>0</v>
      </c>
      <c r="C8" s="6" t="str">
        <f aca="false">IF(B8=0,"—",ROUND(AVERAGEIF(Entraînement!$C$5:$C$19,A8,Entraînement!$D$5:$D$19),1))</f>
        <v>—</v>
      </c>
      <c r="D8" s="6" t="str">
        <f aca="false">IF(B8=0,"—",ROUND(AVERAGEIF(Entraînement!$C$5:$C$19,A8,Entraînement!$E$5:$E$19),1))</f>
        <v>—</v>
      </c>
      <c r="E8" s="6" t="str">
        <f aca="false">IF(OR(C8="—",D8="—"),"—",ROUND(D8-C8,1))</f>
        <v>—</v>
      </c>
      <c r="F8" s="6" t="str">
        <f aca="false">IF(B8=0,"—",ROUND(AVERAGEIF(Entraînement!$C$5:$C$19,A8,Entraînement!$G$5:$G$19),1))</f>
        <v>—</v>
      </c>
    </row>
    <row r="9" customFormat="false" ht="19.5" hidden="false" customHeight="true" outlineLevel="0" collapsed="false">
      <c r="A9" s="8" t="s">
        <v>34</v>
      </c>
      <c r="B9" s="8" t="n">
        <f aca="false">SUM(B5:B8)</f>
        <v>3</v>
      </c>
      <c r="C9" s="8" t="n">
        <f aca="false">IF(B9=0,"—",ROUND(AVERAGE(Entraînement!$D$5:$D$19),1))</f>
        <v>45</v>
      </c>
      <c r="D9" s="8" t="n">
        <f aca="false">IF(B9=0,"—",ROUND(AVERAGE(Entraînement!$E$5:$E$19),1))</f>
        <v>48.3</v>
      </c>
      <c r="E9" s="8" t="n">
        <f aca="false">IF(OR(C9="—",D9="—"),"—",ROUND(D9-C9,1))</f>
        <v>3.3</v>
      </c>
      <c r="F9" s="8" t="n">
        <f aca="false">IF(B9=0,"—",ROUND(AVERAGE(Entraînement!$G$5:$G$19),1))</f>
        <v>6</v>
      </c>
    </row>
    <row r="11" customFormat="false" ht="15" hidden="false" customHeight="false" outlineLevel="0" collapsed="false">
      <c r="A11" s="2" t="s">
        <v>35</v>
      </c>
      <c r="B11" s="2"/>
      <c r="C11" s="2"/>
      <c r="D11" s="2"/>
      <c r="E11" s="2"/>
      <c r="F11" s="2"/>
    </row>
  </sheetData>
  <mergeCells count="3">
    <mergeCell ref="A1:F1"/>
    <mergeCell ref="A2:F2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2026-09-09T23:29:17Z</dcterms:created>
  <dc:creator>openpyxl</dc:creator>
  <dc:description/>
  <dc:language>fr-FR</dc:language>
  <cp:lastModifiedBy/>
  <dcterms:modified xsi:type="dcterms:W3CDTF">2026-09-09T23:29:17Z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