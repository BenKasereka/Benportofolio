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nchmarking" sheetId="1" state="visible" r:id="rId3"/>
    <sheet name="Points de nég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<sst xmlns="http://schemas.openxmlformats.org/spreadsheetml/2006/main" count="86" uniqueCount="66">
  <si>
    <t xml:space="preserve">GRILLE DE BENCHMARKING SALARIAL &amp; PRÉPARATION DE NÉGOCIATION</t>
  </si>
  <si>
    <t xml:space="preserve">Module 06 — Négociation de Contrat &amp; Conditions d'Expatriation — BK-BOOST Ltd.</t>
  </si>
  <si>
    <t xml:space="preserve">1. Références de marché collectées (ONU, ONGI, secteur privé, annonce du poste...)</t>
  </si>
  <si>
    <t xml:space="preserve">Source de référence</t>
  </si>
  <si>
    <t xml:space="preserve">Poste / Niveau (grade)</t>
  </si>
  <si>
    <t xml:space="preserve">Zone géographique</t>
  </si>
  <si>
    <t xml:space="preserve">Salaire mensuel net (référence)</t>
  </si>
  <si>
    <t xml:space="preserve">Devise</t>
  </si>
  <si>
    <t xml:space="preserve">Logement inclus (Oui/Non/Inconnu)</t>
  </si>
  <si>
    <t xml:space="preserve">Date de la recherche / lien source</t>
  </si>
  <si>
    <t xml:space="preserve">ONU (grille CFPI/ICSC)</t>
  </si>
  <si>
    <t xml:space="preserve">P3 - Coordinateur de projet</t>
  </si>
  <si>
    <t xml:space="preserve">Pays X (capitale)</t>
  </si>
  <si>
    <t xml:space="preserve">USD</t>
  </si>
  <si>
    <t xml:space="preserve">Non</t>
  </si>
  <si>
    <t xml:space="preserve">2026-08-05 — barème CFPI + post adjustment</t>
  </si>
  <si>
    <t xml:space="preserve">ONGI (réseau / plateforme salaires)</t>
  </si>
  <si>
    <t xml:space="preserve">Coordinateur de projet, ONG internationale</t>
  </si>
  <si>
    <t xml:space="preserve">Pays X</t>
  </si>
  <si>
    <t xml:space="preserve">Oui (logement fourni)</t>
  </si>
  <si>
    <t xml:space="preserve">2026-08-06 — ancien collègue, poste comparable</t>
  </si>
  <si>
    <t xml:space="preserve">Annonce du poste (fourchette indiquée)</t>
  </si>
  <si>
    <t xml:space="preserve">Coordinateur de projet</t>
  </si>
  <si>
    <t xml:space="preserve">Non précisé</t>
  </si>
  <si>
    <t xml:space="preserve">2026-08-01 — annonce officielle du poste</t>
  </si>
  <si>
    <t xml:space="preserve">Secteur privé (comparable)</t>
  </si>
  <si>
    <t xml:space="preserve">Chef de projet international, ONG/privé</t>
  </si>
  <si>
    <t xml:space="preserve">Régional</t>
  </si>
  <si>
    <t xml:space="preserve">2026-08-06 — plateforme de salaires secteur privé</t>
  </si>
  <si>
    <t xml:space="preserve">2. Mon offre reçue</t>
  </si>
  <si>
    <t xml:space="preserve">Poste proposé</t>
  </si>
  <si>
    <t xml:space="preserve">Salaire mensuel net proposé</t>
  </si>
  <si>
    <t xml:space="preserve">Date de l'offre</t>
  </si>
  <si>
    <t xml:space="preserve">2026-08-10</t>
  </si>
  <si>
    <t xml:space="preserve">3. Fourchette cible &amp; analyse d'écart (calcul automatique)</t>
  </si>
  <si>
    <t xml:space="preserve">Fourchette basse acceptable</t>
  </si>
  <si>
    <t xml:space="preserve">Fourchette haute justifiable</t>
  </si>
  <si>
    <t xml:space="preserve">Salaire médian des références (auto)</t>
  </si>
  <si>
    <t xml:space="preserve">Écart offre vs médian des références (auto)</t>
  </si>
  <si>
    <t xml:space="preserve">Écart offre vs fourchette basse (auto)</t>
  </si>
  <si>
    <t xml:space="preserve">Écart offre vs fourchette haute (auto)</t>
  </si>
  <si>
    <t xml:space="preserve">Statut (auto)</t>
  </si>
  <si>
    <t xml:space="preserve">Légende : complétez les références de marché (section 1) et votre offre reçue (section 2) — la section 3 calcule automatiquement l'écart et le statut de négociation. Ne modifiez pas les formules des colonnes marquées (auto).</t>
  </si>
  <si>
    <t xml:space="preserve">POINTS DE NÉGOCIATION — ARGUMENTAIRE PRÉPARÉ</t>
  </si>
  <si>
    <t xml:space="preserve">Un argument par élément, préparé avant l'échange — jamais improvisé pendant la négociation.</t>
  </si>
  <si>
    <t xml:space="preserve">Élément à négocier</t>
  </si>
  <si>
    <t xml:space="preserve">Argument factuel (donnée, réalisation, contrainte légitime)</t>
  </si>
  <si>
    <t xml:space="preserve">Priorité (Haute/Moyenne/Basse)</t>
  </si>
  <si>
    <t xml:space="preserve">Statut (À préparer/Négocié/Accepté)</t>
  </si>
  <si>
    <t xml:space="preserve">Salaire de base</t>
  </si>
  <si>
    <t xml:space="preserve">Salaire médian des références de marché supérieur de 15 % à l'offre reçue (voir onglet Benchmarking)</t>
  </si>
  <si>
    <t xml:space="preserve">Haute</t>
  </si>
  <si>
    <t xml:space="preserve">À préparer</t>
  </si>
  <si>
    <t xml:space="preserve">Logement</t>
  </si>
  <si>
    <t xml:space="preserve">Logement fourni par les organisations comparables à ce niveau de poste et dans cette zone</t>
  </si>
  <si>
    <t xml:space="preserve">Assurance santé / évacuation médicale</t>
  </si>
  <si>
    <t xml:space="preserve">Plafond de couverture et prise en charge medevac non précisés dans l'offre reçue</t>
  </si>
  <si>
    <t xml:space="preserve">R&amp;R (Rest &amp; Recuperation)</t>
  </si>
  <si>
    <t xml:space="preserve">Cycle et destination non précisés — à clarifier avant signature</t>
  </si>
  <si>
    <t xml:space="preserve">Moyenne</t>
  </si>
  <si>
    <t xml:space="preserve">Billets d'avion</t>
  </si>
  <si>
    <t xml:space="preserve">Aucune mention du billet retour ni de la famille accompagnante</t>
  </si>
  <si>
    <t xml:space="preserve">Clause de préavis</t>
  </si>
  <si>
    <t xml:space="preserve">Durée de préavis à vérifier dans les deux sens (démission / rupture employeur)</t>
  </si>
  <si>
    <t xml:space="preserve">Basse</t>
  </si>
  <si>
    <t xml:space="preserve">Légende : les 6 premières lignes sont des exemples de référence — remplacez-les par votre propre argumentaire avant chaque négociation.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</si>
</sst>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s">
        <v>12</v>
      </c>
      <c r="D5" s="5" t="n">
        <v>4200</v>
      </c>
      <c r="E5" s="5" t="s">
        <v>13</v>
      </c>
      <c r="F5" s="5" t="s">
        <v>14</v>
      </c>
      <c r="G5" s="5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  <c r="C6" s="6" t="s">
        <v>18</v>
      </c>
      <c r="D6" s="6" t="n">
        <v>3600</v>
      </c>
      <c r="E6" s="6" t="s">
        <v>13</v>
      </c>
      <c r="F6" s="6" t="s">
        <v>19</v>
      </c>
      <c r="G6" s="6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18</v>
      </c>
      <c r="D7" s="5" t="n">
        <v>3400</v>
      </c>
      <c r="E7" s="5" t="s">
        <v>13</v>
      </c>
      <c r="F7" s="5" t="s">
        <v>23</v>
      </c>
      <c r="G7" s="5" t="s">
        <v>24</v>
      </c>
    </row>
    <row r="8" customFormat="false" ht="15" hidden="false" customHeight="false" outlineLevel="0" collapsed="false">
      <c r="A8" s="6" t="s">
        <v>25</v>
      </c>
      <c r="B8" s="6" t="s">
        <v>26</v>
      </c>
      <c r="C8" s="6" t="s">
        <v>27</v>
      </c>
      <c r="D8" s="6" t="n">
        <v>4800</v>
      </c>
      <c r="E8" s="6" t="s">
        <v>13</v>
      </c>
      <c r="F8" s="6" t="s">
        <v>14</v>
      </c>
      <c r="G8" s="6" t="s">
        <v>28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4" customFormat="false" ht="15" hidden="false" customHeight="false" outlineLevel="0" collapsed="false">
      <c r="A14" s="3" t="s">
        <v>29</v>
      </c>
      <c r="B14" s="3"/>
      <c r="C14" s="3"/>
      <c r="D14" s="3"/>
      <c r="E14" s="3"/>
      <c r="F14" s="3"/>
      <c r="G14" s="3"/>
    </row>
    <row r="15" customFormat="false" ht="31.5" hidden="false" customHeight="true" outlineLevel="0" collapsed="false">
      <c r="A15" s="4" t="s">
        <v>30</v>
      </c>
      <c r="B15" s="4" t="s">
        <v>5</v>
      </c>
      <c r="C15" s="4" t="s">
        <v>31</v>
      </c>
      <c r="D15" s="4" t="s">
        <v>7</v>
      </c>
      <c r="E15" s="4" t="s">
        <v>8</v>
      </c>
      <c r="F15" s="4" t="s">
        <v>32</v>
      </c>
      <c r="G15" s="4"/>
    </row>
    <row r="16" customFormat="false" ht="15" hidden="false" customHeight="false" outlineLevel="0" collapsed="false">
      <c r="A16" s="5" t="s">
        <v>22</v>
      </c>
      <c r="B16" s="5" t="s">
        <v>18</v>
      </c>
      <c r="C16" s="5" t="n">
        <v>3400</v>
      </c>
      <c r="D16" s="5" t="s">
        <v>13</v>
      </c>
      <c r="E16" s="5" t="s">
        <v>23</v>
      </c>
      <c r="F16" s="5" t="s">
        <v>33</v>
      </c>
      <c r="G16" s="5"/>
    </row>
    <row r="18" customFormat="false" ht="15" hidden="false" customHeight="false" outlineLevel="0" collapsed="false">
      <c r="A18" s="3" t="s">
        <v>34</v>
      </c>
      <c r="B18" s="3"/>
      <c r="C18" s="3"/>
      <c r="D18" s="3"/>
      <c r="E18" s="3"/>
      <c r="F18" s="3"/>
      <c r="G18" s="3"/>
    </row>
    <row r="19" customFormat="false" ht="31.5" hidden="false" customHeight="true" outlineLevel="0" collapsed="false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40</v>
      </c>
      <c r="G19" s="4" t="s">
        <v>41</v>
      </c>
    </row>
    <row r="20" customFormat="false" ht="15" hidden="false" customHeight="false" outlineLevel="0" collapsed="false">
      <c r="A20" s="6" t="n">
        <v>3600</v>
      </c>
      <c r="B20" s="6" t="n">
        <v>4200</v>
      </c>
      <c r="C20" s="6" t="n">
        <f aca="false">IF(COUNT(D5:D12)=0,"—",ROUND(AVERAGE(D5:D12),0))</f>
        <v>4000</v>
      </c>
      <c r="D20" s="6" t="n">
        <f aca="false">IF(OR(C16="",C20="—"),"—",ROUND(C16-C20,0))</f>
        <v>-600</v>
      </c>
      <c r="E20" s="6" t="n">
        <f aca="false">IF(C16="","—",ROUND(C16-A20,0))</f>
        <v>-200</v>
      </c>
      <c r="F20" s="6" t="n">
        <f aca="false">IF(C16="","—",ROUND(C16-B20,0))</f>
        <v>-800</v>
      </c>
      <c r="G20" s="6" t="str">
        <f aca="false">IF(C16="","—",IF(C16&lt;A20,"Sous la fourchette cible — négociation fortement recommandée",IF(C16&lt;B20,"Dans la fourchette — marge de négociation possible","Au niveau ou au-dessus de la fourchette haute")))</f>
        <v>Sous la fourchette cible — négociation fortement recommandée</v>
      </c>
    </row>
    <row r="22" customFormat="false" ht="39.75" hidden="false" customHeight="true" outlineLevel="0" collapsed="false">
      <c r="A22" s="7" t="s">
        <v>42</v>
      </c>
      <c r="B22" s="7"/>
      <c r="C22" s="7"/>
      <c r="D22" s="7"/>
      <c r="E22" s="7"/>
      <c r="F22" s="7"/>
      <c r="G22" s="7"/>
    </row>
  </sheetData>
  <mergeCells count="6">
    <mergeCell ref="A1:G1"/>
    <mergeCell ref="A2:G2"/>
    <mergeCell ref="A3:G3"/>
    <mergeCell ref="A14:G14"/>
    <mergeCell ref="A18:G18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43</v>
      </c>
      <c r="B1" s="1"/>
      <c r="C1" s="1"/>
      <c r="D1" s="1"/>
    </row>
    <row r="2" customFormat="false" ht="15" hidden="false" customHeight="false" outlineLevel="0" collapsed="false">
      <c r="A2" s="2" t="s">
        <v>44</v>
      </c>
      <c r="B2" s="2"/>
      <c r="C2" s="2"/>
      <c r="D2" s="2"/>
    </row>
    <row r="4" customFormat="false" ht="31.5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48</v>
      </c>
    </row>
    <row r="5" customFormat="false" ht="30" hidden="false" customHeight="true" outlineLevel="0" collapsed="false">
      <c r="A5" s="8" t="s">
        <v>49</v>
      </c>
      <c r="B5" s="8" t="s">
        <v>50</v>
      </c>
      <c r="C5" s="8" t="s">
        <v>51</v>
      </c>
      <c r="D5" s="8" t="s">
        <v>52</v>
      </c>
    </row>
    <row r="6" customFormat="false" ht="30" hidden="false" customHeight="true" outlineLevel="0" collapsed="false">
      <c r="A6" s="9" t="s">
        <v>53</v>
      </c>
      <c r="B6" s="9" t="s">
        <v>54</v>
      </c>
      <c r="C6" s="9" t="s">
        <v>51</v>
      </c>
      <c r="D6" s="9" t="s">
        <v>52</v>
      </c>
    </row>
    <row r="7" customFormat="false" ht="30" hidden="false" customHeight="true" outlineLevel="0" collapsed="false">
      <c r="A7" s="8" t="s">
        <v>55</v>
      </c>
      <c r="B7" s="8" t="s">
        <v>56</v>
      </c>
      <c r="C7" s="8" t="s">
        <v>51</v>
      </c>
      <c r="D7" s="8" t="s">
        <v>52</v>
      </c>
    </row>
    <row r="8" customFormat="false" ht="30" hidden="false" customHeight="true" outlineLevel="0" collapsed="false">
      <c r="A8" s="9" t="s">
        <v>57</v>
      </c>
      <c r="B8" s="9" t="s">
        <v>58</v>
      </c>
      <c r="C8" s="9" t="s">
        <v>59</v>
      </c>
      <c r="D8" s="9" t="s">
        <v>52</v>
      </c>
    </row>
    <row r="9" customFormat="false" ht="30" hidden="false" customHeight="true" outlineLevel="0" collapsed="false">
      <c r="A9" s="8" t="s">
        <v>60</v>
      </c>
      <c r="B9" s="8" t="s">
        <v>61</v>
      </c>
      <c r="C9" s="8" t="s">
        <v>59</v>
      </c>
      <c r="D9" s="8" t="s">
        <v>52</v>
      </c>
    </row>
    <row r="10" customFormat="false" ht="30" hidden="false" customHeight="true" outlineLevel="0" collapsed="false">
      <c r="A10" s="9" t="s">
        <v>62</v>
      </c>
      <c r="B10" s="9" t="s">
        <v>63</v>
      </c>
      <c r="C10" s="9" t="s">
        <v>64</v>
      </c>
      <c r="D10" s="9" t="s">
        <v>52</v>
      </c>
    </row>
    <row r="11" customFormat="false" ht="15" hidden="false" customHeight="false" outlineLevel="0" collapsed="false">
      <c r="A11" s="5"/>
      <c r="B11" s="5"/>
      <c r="C11" s="5"/>
      <c r="D11" s="5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5"/>
      <c r="B13" s="5"/>
      <c r="C13" s="5"/>
      <c r="D13" s="5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5"/>
      <c r="B15" s="5"/>
      <c r="C15" s="5"/>
      <c r="D15" s="5"/>
    </row>
    <row r="16" customFormat="false" ht="15" hidden="false" customHeight="false" outlineLevel="0" collapsed="false">
      <c r="A16" s="6"/>
      <c r="B16" s="6"/>
      <c r="C16" s="6"/>
      <c r="D16" s="6"/>
    </row>
    <row r="18" customFormat="false" ht="15" hidden="false" customHeight="false" outlineLevel="0" collapsed="false">
      <c r="A18" s="7" t="s">
        <v>65</v>
      </c>
      <c r="B18" s="7"/>
      <c r="C18" s="7"/>
      <c r="D18" s="7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2026-09-10T06:26:37Z</dcterms:created>
  <dc:creator>openpyxl</dc:creator>
  <dc:description/>
  <dc:language>fr-FR</dc:language>
  <cp:lastModifiedBy/>
  <dcterms:modified xsi:type="dcterms:W3CDTF">2026-09-10T06:26:37Z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