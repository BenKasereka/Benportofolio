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dification" sheetId="1" state="visible" r:id="rId3"/>
    <sheet name="Listes" sheetId="2" state="hidden" r:id="rId4"/>
    <sheet name="Allocation coûts commu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<sst xmlns="http://schemas.openxmlformats.org/spreadsheetml/2006/main" count="111" uniqueCount="68">
  <si>
    <t xml:space="preserve">PLAN COMPTABLE &amp; CODIFICATION DES PROJETS</t>
  </si>
  <si>
    <t xml:space="preserve">Module 01 — Fondamentaux de la Comptabilité de Projet ONG — BK-BOOST Ltd.</t>
  </si>
  <si>
    <t xml:space="preserve">Date</t>
  </si>
  <si>
    <t xml:space="preserve">Compte</t>
  </si>
  <si>
    <t xml:space="preserve">Libellé de la transaction</t>
  </si>
  <si>
    <t xml:space="preserve">Projet</t>
  </si>
  <si>
    <t xml:space="preserve">Bailleur</t>
  </si>
  <si>
    <t xml:space="preserve">Rubrique budgétaire</t>
  </si>
  <si>
    <t xml:space="preserve">Montant (USD)</t>
  </si>
  <si>
    <t xml:space="preserve">Type</t>
  </si>
  <si>
    <t xml:space="preserve">Statut</t>
  </si>
  <si>
    <t xml:space="preserve">2026-01-08</t>
  </si>
  <si>
    <t xml:space="preserve">611 - Locations</t>
  </si>
  <si>
    <t xml:space="preserve">Loyer bureau Goma - janvier 2026 (avant régularisation)</t>
  </si>
  <si>
    <t xml:space="preserve">Projet Nutrition Nord-Kivu</t>
  </si>
  <si>
    <t xml:space="preserve">UNICEF</t>
  </si>
  <si>
    <t xml:space="preserve">Loyer &amp; charges locatives</t>
  </si>
  <si>
    <t xml:space="preserve">Engagement</t>
  </si>
  <si>
    <t xml:space="preserve">Confirmé</t>
  </si>
  <si>
    <t xml:space="preserve">Projet WASH Nord-Kivu</t>
  </si>
  <si>
    <t xml:space="preserve">ECHO</t>
  </si>
  <si>
    <t xml:space="preserve">2026-01-12</t>
  </si>
  <si>
    <t xml:space="preserve">604 - Achats de carburant</t>
  </si>
  <si>
    <t xml:space="preserve">Carburant véhicule WASH - codé par erreur sur Santé</t>
  </si>
  <si>
    <t xml:space="preserve">Projet Santé Nord-Kivu</t>
  </si>
  <si>
    <t xml:space="preserve">USAID/BHA</t>
  </si>
  <si>
    <t xml:space="preserve">Transport &amp; carburant</t>
  </si>
  <si>
    <t xml:space="preserve">Caisse</t>
  </si>
  <si>
    <t xml:space="preserve">À corriger</t>
  </si>
  <si>
    <t xml:space="preserve">Régularisation : recodage carburant vers WASH/ECHO (réf. ligne du 2026-01-12)</t>
  </si>
  <si>
    <t xml:space="preserve">Corrigé</t>
  </si>
  <si>
    <t xml:space="preserve">Rappel : ne jamais coder « au feeling » — vérifier la ligne budgétaire bailleur avant chaque saisie. Toute correction se fait par une nouvelle ligne référencée, jamais en écrasant la ligne d'origine.</t>
  </si>
  <si>
    <t xml:space="preserve">Comptes</t>
  </si>
  <si>
    <t xml:space="preserve">Projets</t>
  </si>
  <si>
    <t xml:space="preserve">Bailleurs</t>
  </si>
  <si>
    <t xml:space="preserve">Rubriques</t>
  </si>
  <si>
    <t xml:space="preserve">Types</t>
  </si>
  <si>
    <t xml:space="preserve">Statuts</t>
  </si>
  <si>
    <t xml:space="preserve">601 - Achats de fournitures</t>
  </si>
  <si>
    <t xml:space="preserve">Personnel</t>
  </si>
  <si>
    <t xml:space="preserve">602 - Achats de matériel médical/intrants</t>
  </si>
  <si>
    <t xml:space="preserve">À vérifier</t>
  </si>
  <si>
    <t xml:space="preserve">Intrants &amp; matériel</t>
  </si>
  <si>
    <t xml:space="preserve">Autre projet</t>
  </si>
  <si>
    <t xml:space="preserve">Fonds propres</t>
  </si>
  <si>
    <t xml:space="preserve">613 - Entretien et réparations</t>
  </si>
  <si>
    <t xml:space="preserve">Fonctionnement bureau</t>
  </si>
  <si>
    <t xml:space="preserve">616 - Assurances</t>
  </si>
  <si>
    <t xml:space="preserve">Formation</t>
  </si>
  <si>
    <t xml:space="preserve">622 - Honoraires et prestations</t>
  </si>
  <si>
    <t xml:space="preserve">Suivi-évaluation</t>
  </si>
  <si>
    <t xml:space="preserve">625 - Déplacements, missions</t>
  </si>
  <si>
    <t xml:space="preserve">Autres</t>
  </si>
  <si>
    <t xml:space="preserve">641 - Salaires et charges sociales</t>
  </si>
  <si>
    <t xml:space="preserve">651 - Autres charges de gestion courante</t>
  </si>
  <si>
    <t xml:space="preserve">CALCULATEUR D'ALLOCATION DES COÛTS COMMUNS</t>
  </si>
  <si>
    <t xml:space="preserve">Calculée automatiquement à partir des cellules ci-dessous — ne pas modifier les formules.</t>
  </si>
  <si>
    <t xml:space="preserve">Description du coût commun</t>
  </si>
  <si>
    <t xml:space="preserve">Loyer bureau pays de Goma - janvier 2026</t>
  </si>
  <si>
    <t xml:space="preserve">Montant total du coût commun (USD)</t>
  </si>
  <si>
    <t xml:space="preserve">Base de répartition retenue</t>
  </si>
  <si>
    <t xml:space="preserve">ETP (Équivalent Temps Plein) par projet dans ce bureau</t>
  </si>
  <si>
    <t xml:space="preserve">Base de répartition (ETP)</t>
  </si>
  <si>
    <t xml:space="preserve">% du total</t>
  </si>
  <si>
    <t xml:space="preserve">Part allouée (USD)</t>
  </si>
  <si>
    <t xml:space="preserve">TOTAL</t>
  </si>
  <si>
    <t xml:space="preserve">Vérification : le total de la colonne « % du total » doit être exactement 100 %. Tout écart signale une erreur de clé de répartition ou un risque de double financement.</t>
  </si>
  <si>
    <t xml:space="preserve">Exercice — construisez votre propre allocation ci-dessous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</si>
</sst>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  <fill>
      <patternFill patternType="solid">
        <fgColor rgb="FFFEF3C7"/>
        <bgColor rgb="FFECFDF5"/>
      </patternFill>
    </fill>
    <fill>
      <patternFill patternType="solid">
        <fgColor rgb="FFFDE68A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0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5" t="n">
        <v>1000</v>
      </c>
      <c r="H5" s="4" t="s">
        <v>17</v>
      </c>
      <c r="I5" s="4" t="s">
        <v>18</v>
      </c>
    </row>
    <row r="6" customFormat="false" ht="30" hidden="false" customHeight="true" outlineLevel="0" collapsed="false">
      <c r="A6" s="6" t="s">
        <v>11</v>
      </c>
      <c r="B6" s="6" t="s">
        <v>12</v>
      </c>
      <c r="C6" s="6" t="s">
        <v>13</v>
      </c>
      <c r="D6" s="6" t="s">
        <v>19</v>
      </c>
      <c r="E6" s="6" t="s">
        <v>20</v>
      </c>
      <c r="F6" s="6" t="s">
        <v>16</v>
      </c>
      <c r="G6" s="7" t="n">
        <v>1000</v>
      </c>
      <c r="H6" s="6" t="s">
        <v>17</v>
      </c>
      <c r="I6" s="6" t="s">
        <v>18</v>
      </c>
    </row>
    <row r="7" customFormat="false" ht="30" hidden="false" customHeight="tru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5" t="n">
        <v>240</v>
      </c>
      <c r="H7" s="4" t="s">
        <v>27</v>
      </c>
      <c r="I7" s="4" t="s">
        <v>28</v>
      </c>
    </row>
    <row r="8" customFormat="false" ht="30" hidden="false" customHeight="true" outlineLevel="0" collapsed="false">
      <c r="A8" s="6" t="s">
        <v>21</v>
      </c>
      <c r="B8" s="6" t="s">
        <v>22</v>
      </c>
      <c r="C8" s="6" t="s">
        <v>29</v>
      </c>
      <c r="D8" s="6" t="s">
        <v>19</v>
      </c>
      <c r="E8" s="6" t="s">
        <v>20</v>
      </c>
      <c r="F8" s="6" t="s">
        <v>26</v>
      </c>
      <c r="G8" s="7" t="n">
        <v>240</v>
      </c>
      <c r="H8" s="6" t="s">
        <v>27</v>
      </c>
      <c r="I8" s="6" t="s">
        <v>30</v>
      </c>
    </row>
    <row r="9" customFormat="false" ht="21.75" hidden="false" customHeight="true" outlineLevel="0" collapsed="false">
      <c r="A9" s="8"/>
      <c r="B9" s="8"/>
      <c r="C9" s="8"/>
      <c r="D9" s="8"/>
      <c r="E9" s="8"/>
      <c r="F9" s="8"/>
      <c r="G9" s="9"/>
      <c r="H9" s="8"/>
      <c r="I9" s="8"/>
    </row>
    <row r="10" customFormat="false" ht="21.75" hidden="false" customHeight="true" outlineLevel="0" collapsed="false">
      <c r="A10" s="10"/>
      <c r="B10" s="10"/>
      <c r="C10" s="10"/>
      <c r="D10" s="10"/>
      <c r="E10" s="10"/>
      <c r="F10" s="10"/>
      <c r="G10" s="11"/>
      <c r="H10" s="10"/>
      <c r="I10" s="10"/>
    </row>
    <row r="11" customFormat="false" ht="21.75" hidden="false" customHeight="true" outlineLevel="0" collapsed="false">
      <c r="A11" s="8"/>
      <c r="B11" s="8"/>
      <c r="C11" s="8"/>
      <c r="D11" s="8"/>
      <c r="E11" s="8"/>
      <c r="F11" s="8"/>
      <c r="G11" s="9"/>
      <c r="H11" s="8"/>
      <c r="I11" s="8"/>
    </row>
    <row r="12" customFormat="false" ht="21.75" hidden="false" customHeight="true" outlineLevel="0" collapsed="false">
      <c r="A12" s="10"/>
      <c r="B12" s="10"/>
      <c r="C12" s="10"/>
      <c r="D12" s="10"/>
      <c r="E12" s="10"/>
      <c r="F12" s="10"/>
      <c r="G12" s="11"/>
      <c r="H12" s="10"/>
      <c r="I12" s="10"/>
    </row>
    <row r="13" customFormat="false" ht="21.75" hidden="false" customHeight="true" outlineLevel="0" collapsed="false">
      <c r="A13" s="8"/>
      <c r="B13" s="8"/>
      <c r="C13" s="8"/>
      <c r="D13" s="8"/>
      <c r="E13" s="8"/>
      <c r="F13" s="8"/>
      <c r="G13" s="9"/>
      <c r="H13" s="8"/>
      <c r="I13" s="8"/>
    </row>
    <row r="14" customFormat="false" ht="21.75" hidden="false" customHeight="true" outlineLevel="0" collapsed="false">
      <c r="A14" s="10"/>
      <c r="B14" s="10"/>
      <c r="C14" s="10"/>
      <c r="D14" s="10"/>
      <c r="E14" s="10"/>
      <c r="F14" s="10"/>
      <c r="G14" s="11"/>
      <c r="H14" s="10"/>
      <c r="I14" s="10"/>
    </row>
    <row r="15" customFormat="false" ht="21.75" hidden="false" customHeight="true" outlineLevel="0" collapsed="false">
      <c r="A15" s="8"/>
      <c r="B15" s="8"/>
      <c r="C15" s="8"/>
      <c r="D15" s="8"/>
      <c r="E15" s="8"/>
      <c r="F15" s="8"/>
      <c r="G15" s="9"/>
      <c r="H15" s="8"/>
      <c r="I15" s="8"/>
    </row>
    <row r="16" customFormat="false" ht="21.75" hidden="false" customHeight="true" outlineLevel="0" collapsed="false">
      <c r="A16" s="10"/>
      <c r="B16" s="10"/>
      <c r="C16" s="10"/>
      <c r="D16" s="10"/>
      <c r="E16" s="10"/>
      <c r="F16" s="10"/>
      <c r="G16" s="11"/>
      <c r="H16" s="10"/>
      <c r="I16" s="10"/>
    </row>
    <row r="17" customFormat="false" ht="21.75" hidden="false" customHeight="true" outlineLevel="0" collapsed="false">
      <c r="A17" s="8"/>
      <c r="B17" s="8"/>
      <c r="C17" s="8"/>
      <c r="D17" s="8"/>
      <c r="E17" s="8"/>
      <c r="F17" s="8"/>
      <c r="G17" s="9"/>
      <c r="H17" s="8"/>
      <c r="I17" s="8"/>
    </row>
    <row r="18" customFormat="false" ht="21.75" hidden="false" customHeight="true" outlineLevel="0" collapsed="false">
      <c r="A18" s="10"/>
      <c r="B18" s="10"/>
      <c r="C18" s="10"/>
      <c r="D18" s="10"/>
      <c r="E18" s="10"/>
      <c r="F18" s="10"/>
      <c r="G18" s="11"/>
      <c r="H18" s="10"/>
      <c r="I18" s="10"/>
    </row>
    <row r="19" customFormat="false" ht="21.75" hidden="false" customHeight="true" outlineLevel="0" collapsed="false">
      <c r="A19" s="8"/>
      <c r="B19" s="8"/>
      <c r="C19" s="8"/>
      <c r="D19" s="8"/>
      <c r="E19" s="8"/>
      <c r="F19" s="8"/>
      <c r="G19" s="9"/>
      <c r="H19" s="8"/>
      <c r="I19" s="8"/>
    </row>
    <row r="20" customFormat="false" ht="21.75" hidden="false" customHeight="true" outlineLevel="0" collapsed="false">
      <c r="A20" s="10"/>
      <c r="B20" s="10"/>
      <c r="C20" s="10"/>
      <c r="D20" s="10"/>
      <c r="E20" s="10"/>
      <c r="F20" s="10"/>
      <c r="G20" s="11"/>
      <c r="H20" s="10"/>
      <c r="I20" s="10"/>
    </row>
    <row r="22" customFormat="false" ht="15" hidden="false" customHeight="true" outlineLevel="0" collapsed="false">
      <c r="A22" s="12" t="s">
        <v>31</v>
      </c>
      <c r="B22" s="12"/>
      <c r="C22" s="12"/>
      <c r="D22" s="12"/>
      <c r="E22" s="12"/>
      <c r="F22" s="12"/>
      <c r="G22" s="12"/>
      <c r="H22" s="12"/>
      <c r="I22" s="12"/>
    </row>
  </sheetData>
  <mergeCells count="3">
    <mergeCell ref="A1:I1"/>
    <mergeCell ref="A2:I2"/>
    <mergeCell ref="A22:I22"/>
  </mergeCells>
  <dataValidations count="6">
    <dataValidation allowBlank="true" errorStyle="stop" operator="between" showDropDown="false" showErrorMessage="false" showInputMessage="false" sqref="B5:B20" type="list">
      <formula1>Listes!$A$2:$A$11</formula1>
      <formula2>0</formula2>
    </dataValidation>
    <dataValidation allowBlank="true" errorStyle="stop" operator="between" showDropDown="false" showErrorMessage="false" showInputMessage="false" sqref="D5:D20" type="list">
      <formula1>Listes!$B$2:$B$5</formula1>
      <formula2>0</formula2>
    </dataValidation>
    <dataValidation allowBlank="true" errorStyle="stop" operator="between" showDropDown="false" showErrorMessage="false" showInputMessage="false" sqref="E5:E20" type="list">
      <formula1>Listes!$C$2:$C$5</formula1>
      <formula2>0</formula2>
    </dataValidation>
    <dataValidation allowBlank="true" errorStyle="stop" operator="between" showDropDown="false" showErrorMessage="false" showInputMessage="false" sqref="F5:F20" type="list">
      <formula1>Listes!$D$2:$D$9</formula1>
      <formula2>0</formula2>
    </dataValidation>
    <dataValidation allowBlank="true" errorStyle="stop" operator="between" showDropDown="false" showErrorMessage="false" showInputMessage="false" sqref="H5:H20" type="list">
      <formula1>Listes!$E$2:$E$3</formula1>
      <formula2>0</formula2>
    </dataValidation>
    <dataValidation allowBlank="true" errorStyle="stop" operator="between" showDropDown="false" showErrorMessage="false" showInputMessage="false" sqref="I5:I20" type="list">
      <formula1>Listes!$F$2:$F$5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</row>
    <row r="2" customFormat="false" ht="15" hidden="false" customHeight="false" outlineLevel="0" collapsed="false">
      <c r="A2" s="0" t="s">
        <v>38</v>
      </c>
      <c r="B2" s="0" t="s">
        <v>14</v>
      </c>
      <c r="C2" s="0" t="s">
        <v>15</v>
      </c>
      <c r="D2" s="0" t="s">
        <v>39</v>
      </c>
      <c r="E2" s="0" t="s">
        <v>17</v>
      </c>
      <c r="F2" s="0" t="s">
        <v>18</v>
      </c>
    </row>
    <row r="3" customFormat="false" ht="15" hidden="false" customHeight="false" outlineLevel="0" collapsed="false">
      <c r="A3" s="0" t="s">
        <v>40</v>
      </c>
      <c r="B3" s="0" t="s">
        <v>19</v>
      </c>
      <c r="C3" s="0" t="s">
        <v>20</v>
      </c>
      <c r="D3" s="0" t="s">
        <v>26</v>
      </c>
      <c r="E3" s="0" t="s">
        <v>27</v>
      </c>
      <c r="F3" s="0" t="s">
        <v>41</v>
      </c>
    </row>
    <row r="4" customFormat="false" ht="15" hidden="false" customHeight="false" outlineLevel="0" collapsed="false">
      <c r="A4" s="0" t="s">
        <v>22</v>
      </c>
      <c r="B4" s="0" t="s">
        <v>24</v>
      </c>
      <c r="C4" s="0" t="s">
        <v>25</v>
      </c>
      <c r="D4" s="0" t="s">
        <v>42</v>
      </c>
      <c r="F4" s="0" t="s">
        <v>28</v>
      </c>
    </row>
    <row r="5" customFormat="false" ht="15" hidden="false" customHeight="false" outlineLevel="0" collapsed="false">
      <c r="A5" s="0" t="s">
        <v>12</v>
      </c>
      <c r="B5" s="0" t="s">
        <v>43</v>
      </c>
      <c r="C5" s="0" t="s">
        <v>44</v>
      </c>
      <c r="D5" s="0" t="s">
        <v>16</v>
      </c>
      <c r="F5" s="0" t="s">
        <v>30</v>
      </c>
    </row>
    <row r="6" customFormat="false" ht="15" hidden="false" customHeight="false" outlineLevel="0" collapsed="false">
      <c r="A6" s="0" t="s">
        <v>45</v>
      </c>
      <c r="D6" s="0" t="s">
        <v>46</v>
      </c>
    </row>
    <row r="7" customFormat="false" ht="15" hidden="false" customHeight="false" outlineLevel="0" collapsed="false">
      <c r="A7" s="0" t="s">
        <v>47</v>
      </c>
      <c r="D7" s="0" t="s">
        <v>48</v>
      </c>
    </row>
    <row r="8" customFormat="false" ht="15" hidden="false" customHeight="false" outlineLevel="0" collapsed="false">
      <c r="A8" s="0" t="s">
        <v>49</v>
      </c>
      <c r="D8" s="0" t="s">
        <v>50</v>
      </c>
    </row>
    <row r="9" customFormat="false" ht="15" hidden="false" customHeight="false" outlineLevel="0" collapsed="false">
      <c r="A9" s="0" t="s">
        <v>51</v>
      </c>
      <c r="D9" s="0" t="s">
        <v>52</v>
      </c>
    </row>
    <row r="10" customFormat="false" ht="15" hidden="false" customHeight="false" outlineLevel="0" collapsed="false">
      <c r="A10" s="0" t="s">
        <v>53</v>
      </c>
    </row>
    <row r="11" customFormat="false" ht="15" hidden="false" customHeight="false" outlineLevel="0" collapsed="false">
      <c r="A11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55</v>
      </c>
      <c r="B1" s="1"/>
      <c r="C1" s="1"/>
      <c r="D1" s="1"/>
      <c r="E1" s="1"/>
    </row>
    <row r="2" customFormat="false" ht="15" hidden="false" customHeight="true" outlineLevel="0" collapsed="false">
      <c r="A2" s="2" t="s">
        <v>56</v>
      </c>
      <c r="B2" s="2"/>
      <c r="C2" s="2"/>
      <c r="D2" s="2"/>
      <c r="E2" s="2"/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57</v>
      </c>
      <c r="B4" s="14" t="s">
        <v>58</v>
      </c>
      <c r="C4" s="14"/>
      <c r="D4" s="14"/>
      <c r="E4" s="14"/>
    </row>
    <row r="5" customFormat="false" ht="18" hidden="false" customHeight="true" outlineLevel="0" collapsed="false">
      <c r="A5" s="13" t="s">
        <v>59</v>
      </c>
      <c r="B5" s="15" t="n">
        <v>3000</v>
      </c>
    </row>
    <row r="6" customFormat="false" ht="18" hidden="false" customHeight="true" outlineLevel="0" collapsed="false">
      <c r="A6" s="13" t="s">
        <v>60</v>
      </c>
      <c r="B6" s="16" t="s">
        <v>61</v>
      </c>
    </row>
    <row r="8" customFormat="false" ht="30" hidden="false" customHeight="true" outlineLevel="0" collapsed="false">
      <c r="A8" s="3" t="s">
        <v>5</v>
      </c>
      <c r="B8" s="3" t="s">
        <v>6</v>
      </c>
      <c r="C8" s="3" t="s">
        <v>62</v>
      </c>
      <c r="D8" s="3" t="s">
        <v>63</v>
      </c>
      <c r="E8" s="3" t="s">
        <v>64</v>
      </c>
    </row>
    <row r="9" customFormat="false" ht="19.5" hidden="false" customHeight="true" outlineLevel="0" collapsed="false">
      <c r="A9" s="17" t="s">
        <v>14</v>
      </c>
      <c r="B9" s="17" t="s">
        <v>15</v>
      </c>
      <c r="C9" s="18" t="n">
        <v>5</v>
      </c>
      <c r="D9" s="19" t="n">
        <f aca="false">C9/SUM(C9:C11)</f>
        <v>0.5</v>
      </c>
      <c r="E9" s="5" t="n">
        <f aca="false">D9*$B$5</f>
        <v>1500</v>
      </c>
    </row>
    <row r="10" customFormat="false" ht="19.5" hidden="false" customHeight="true" outlineLevel="0" collapsed="false">
      <c r="A10" s="20" t="s">
        <v>19</v>
      </c>
      <c r="B10" s="20" t="s">
        <v>20</v>
      </c>
      <c r="C10" s="21" t="n">
        <v>3</v>
      </c>
      <c r="D10" s="22" t="n">
        <f aca="false">C10/SUM(C9:C11)</f>
        <v>0.3</v>
      </c>
      <c r="E10" s="7" t="n">
        <f aca="false">D10*$B$5</f>
        <v>900</v>
      </c>
    </row>
    <row r="11" customFormat="false" ht="19.5" hidden="false" customHeight="true" outlineLevel="0" collapsed="false">
      <c r="A11" s="17" t="s">
        <v>24</v>
      </c>
      <c r="B11" s="17" t="s">
        <v>25</v>
      </c>
      <c r="C11" s="18" t="n">
        <v>2</v>
      </c>
      <c r="D11" s="19" t="n">
        <f aca="false">C11/SUM(C9:C11)</f>
        <v>0.2</v>
      </c>
      <c r="E11" s="5" t="n">
        <f aca="false">D11*$B$5</f>
        <v>600</v>
      </c>
    </row>
    <row r="12" customFormat="false" ht="19.5" hidden="false" customHeight="true" outlineLevel="0" collapsed="false">
      <c r="A12" s="23" t="s">
        <v>65</v>
      </c>
      <c r="B12" s="23"/>
      <c r="C12" s="24" t="n">
        <f aca="false">SUM(C9:C11)</f>
        <v>10</v>
      </c>
      <c r="D12" s="25" t="n">
        <f aca="false">SUM(D9:D11)</f>
        <v>1</v>
      </c>
      <c r="E12" s="26" t="n">
        <f aca="false">SUM(E9:E11)</f>
        <v>3000</v>
      </c>
    </row>
    <row r="14" customFormat="false" ht="27.75" hidden="false" customHeight="true" outlineLevel="0" collapsed="false">
      <c r="A14" s="27" t="s">
        <v>66</v>
      </c>
      <c r="B14" s="27"/>
      <c r="C14" s="27"/>
      <c r="D14" s="27"/>
      <c r="E14" s="27"/>
    </row>
    <row r="16" customFormat="false" ht="18" hidden="false" customHeight="true" outlineLevel="0" collapsed="false">
      <c r="A16" s="28" t="s">
        <v>67</v>
      </c>
      <c r="B16" s="28"/>
      <c r="C16" s="28"/>
      <c r="D16" s="28"/>
      <c r="E16" s="28"/>
    </row>
    <row r="17" customFormat="false" ht="15" hidden="false" customHeight="false" outlineLevel="0" collapsed="false">
      <c r="A17" s="13" t="s">
        <v>57</v>
      </c>
      <c r="B17" s="29"/>
      <c r="C17" s="29"/>
      <c r="D17" s="29"/>
      <c r="E17" s="29"/>
    </row>
    <row r="18" customFormat="false" ht="15" hidden="false" customHeight="false" outlineLevel="0" collapsed="false">
      <c r="A18" s="13" t="s">
        <v>59</v>
      </c>
      <c r="B18" s="30"/>
    </row>
    <row r="20" customFormat="false" ht="30" hidden="false" customHeight="true" outlineLevel="0" collapsed="false">
      <c r="A20" s="3" t="s">
        <v>5</v>
      </c>
      <c r="B20" s="3" t="s">
        <v>6</v>
      </c>
      <c r="C20" s="3" t="s">
        <v>62</v>
      </c>
      <c r="D20" s="3" t="s">
        <v>63</v>
      </c>
      <c r="E20" s="3" t="s">
        <v>64</v>
      </c>
    </row>
    <row r="21" customFormat="false" ht="19.5" hidden="false" customHeight="true" outlineLevel="0" collapsed="false">
      <c r="A21" s="8"/>
      <c r="B21" s="8"/>
      <c r="C21" s="8"/>
      <c r="D21" s="31" t="str">
        <f aca="false">IF(SUM(C21:C24)=0,"",C21/SUM(C21:C24))</f>
        <v/>
      </c>
      <c r="E21" s="9" t="str">
        <f aca="false">IF(D21="","",D21*$B$18)</f>
        <v/>
      </c>
    </row>
    <row r="22" customFormat="false" ht="19.5" hidden="false" customHeight="true" outlineLevel="0" collapsed="false">
      <c r="A22" s="8"/>
      <c r="B22" s="8"/>
      <c r="C22" s="8"/>
      <c r="D22" s="31" t="str">
        <f aca="false">IF(SUM(C21:C24)=0,"",C22/SUM(C21:C24))</f>
        <v/>
      </c>
      <c r="E22" s="9" t="str">
        <f aca="false">IF(D22="","",D22*$B$18)</f>
        <v/>
      </c>
    </row>
    <row r="23" customFormat="false" ht="19.5" hidden="false" customHeight="true" outlineLevel="0" collapsed="false">
      <c r="A23" s="8"/>
      <c r="B23" s="8"/>
      <c r="C23" s="8"/>
      <c r="D23" s="31" t="str">
        <f aca="false">IF(SUM(C21:C24)=0,"",C23/SUM(C21:C24))</f>
        <v/>
      </c>
      <c r="E23" s="9" t="str">
        <f aca="false">IF(D23="","",D23*$B$18)</f>
        <v/>
      </c>
    </row>
    <row r="24" customFormat="false" ht="19.5" hidden="false" customHeight="true" outlineLevel="0" collapsed="false">
      <c r="A24" s="8"/>
      <c r="B24" s="8"/>
      <c r="C24" s="8"/>
      <c r="D24" s="31" t="str">
        <f aca="false">IF(SUM(C21:C24)=0,"",C24/SUM(C21:C24))</f>
        <v/>
      </c>
      <c r="E24" s="9" t="str">
        <f aca="false">IF(D24="","",D24*$B$18)</f>
        <v/>
      </c>
    </row>
    <row r="25" customFormat="false" ht="15" hidden="false" customHeight="false" outlineLevel="0" collapsed="false">
      <c r="A25" s="23" t="s">
        <v>65</v>
      </c>
      <c r="B25" s="23"/>
      <c r="C25" s="23" t="n">
        <f aca="false">SUM(C21:C24)</f>
        <v>0</v>
      </c>
      <c r="D25" s="32" t="str">
        <f aca="false">IF(SUM(C21:C24)=0,"",SUM(D21:D24))</f>
        <v/>
      </c>
      <c r="E25" s="33" t="n">
        <f aca="false">SUM(E21:E24)</f>
        <v>0</v>
      </c>
    </row>
  </sheetData>
  <mergeCells count="6">
    <mergeCell ref="A1:E1"/>
    <mergeCell ref="A2:E2"/>
    <mergeCell ref="B4:E4"/>
    <mergeCell ref="A14:E14"/>
    <mergeCell ref="A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2026-08-31T21:09:30Z</dcterms:created>
  <dc:creator>openpyxl</dc:creator>
  <dc:description/>
  <dc:language>fr-FR</dc:language>
  <cp:lastModifiedBy/>
  <dcterms:modified xsi:type="dcterms:W3CDTF">2026-08-31T21:09:30Z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