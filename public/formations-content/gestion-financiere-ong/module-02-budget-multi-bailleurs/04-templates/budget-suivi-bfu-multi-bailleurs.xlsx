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BF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<sst xmlns="http://schemas.openxmlformats.org/spreadsheetml/2006/main" count="44" uniqueCount="31">
  <si>
    <t xml:space="preserve">BUDGET DE PROJET — MULTI-BAILLEURS</t>
  </si>
  <si>
    <t xml:space="preserve">Module 02 · Élaboration &amp; Gestion Budgétaire Multi-Bailleurs · BK-BOOST Ltd.</t>
  </si>
  <si>
    <t xml:space="preserve">Activité</t>
  </si>
  <si>
    <t xml:space="preserve">Ligne budgétaire</t>
  </si>
  <si>
    <t xml:space="preserve">Bailleur</t>
  </si>
  <si>
    <t xml:space="preserve">Méthode</t>
  </si>
  <si>
    <t xml:space="preserve">Quantité</t>
  </si>
  <si>
    <t xml:space="preserve">Coût unitaire (USD)</t>
  </si>
  <si>
    <t xml:space="preserve">Budget total (USD)</t>
  </si>
  <si>
    <t xml:space="preserve">Distribution NFI</t>
  </si>
  <si>
    <t xml:space="preserve">Transport local</t>
  </si>
  <si>
    <t xml:space="preserve">ECHO</t>
  </si>
  <si>
    <t xml:space="preserve">Coût unitaire</t>
  </si>
  <si>
    <t xml:space="preserve">Kits NFI</t>
  </si>
  <si>
    <t xml:space="preserve">Sensibilisation communautaire</t>
  </si>
  <si>
    <t xml:space="preserve">Perdiem animateurs</t>
  </si>
  <si>
    <t xml:space="preserve">Fonds privés</t>
  </si>
  <si>
    <t xml:space="preserve">Forfait</t>
  </si>
  <si>
    <t xml:space="preserve">Coordination projet</t>
  </si>
  <si>
    <t xml:space="preserve">Salaire coordinateur (% temps)</t>
  </si>
  <si>
    <t xml:space="preserve">Activité par activité</t>
  </si>
  <si>
    <t xml:space="preserve">BUDGET FOLLOW-UP (BFU) MENSUEL</t>
  </si>
  <si>
    <t xml:space="preserve">Mettre à jour Engagé et Dépensé chaque mois — les autres colonnes se calculent automatiquement.</t>
  </si>
  <si>
    <t xml:space="preserve">Budget total</t>
  </si>
  <si>
    <t xml:space="preserve">Engagé cumulé (POs + dépenses)</t>
  </si>
  <si>
    <t xml:space="preserve">Dont déjà payé (dépensé)</t>
  </si>
  <si>
    <t xml:space="preserve">Consommé total</t>
  </si>
  <si>
    <t xml:space="preserve">Solde</t>
  </si>
  <si>
    <t xml:space="preserve">% consommé</t>
  </si>
  <si>
    <t xml:space="preserve">Salaire coordinateur</t>
  </si>
  <si>
    <t xml:space="preserve">Seuil d'alerte : une ligne dépassant 85% de consommation est signalée en rouge — vérifiez le prorata temporis du projet avant de conclure à un problème.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</si>
</sst>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n">
        <v>12</v>
      </c>
      <c r="F5" s="4" t="n">
        <v>450</v>
      </c>
      <c r="G5" s="4" t="n">
        <f aca="false">E5*F5</f>
        <v>5400</v>
      </c>
    </row>
    <row r="6" customFormat="false" ht="15" hidden="false" customHeight="false" outlineLevel="0" collapsed="false">
      <c r="A6" s="5" t="s">
        <v>9</v>
      </c>
      <c r="B6" s="5" t="s">
        <v>13</v>
      </c>
      <c r="C6" s="5" t="s">
        <v>11</v>
      </c>
      <c r="D6" s="5" t="s">
        <v>12</v>
      </c>
      <c r="E6" s="5" t="n">
        <v>2000</v>
      </c>
      <c r="F6" s="5" t="n">
        <v>18</v>
      </c>
      <c r="G6" s="5" t="n">
        <f aca="false">E6*F6</f>
        <v>36000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  <c r="E7" s="4" t="n">
        <v>1</v>
      </c>
      <c r="F7" s="4" t="n">
        <v>3200</v>
      </c>
      <c r="G7" s="4" t="n">
        <f aca="false">E7*F7</f>
        <v>3200</v>
      </c>
    </row>
    <row r="8" customFormat="false" ht="15" hidden="false" customHeight="false" outlineLevel="0" collapsed="false">
      <c r="A8" s="5" t="s">
        <v>18</v>
      </c>
      <c r="B8" s="5" t="s">
        <v>19</v>
      </c>
      <c r="C8" s="5" t="s">
        <v>11</v>
      </c>
      <c r="D8" s="5" t="s">
        <v>20</v>
      </c>
      <c r="E8" s="5" t="n">
        <v>1</v>
      </c>
      <c r="F8" s="5" t="n">
        <v>9600</v>
      </c>
      <c r="G8" s="5" t="n">
        <f aca="false">E8*F8</f>
        <v>9600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D5:D13" type="list">
      <formula1>"Activité par activité,Coût unitaire,Forfait"</formula1>
      <formula2>0</formula2>
    </dataValidation>
    <dataValidation allowBlank="true" errorStyle="stop" operator="between" showDropDown="false" showErrorMessage="false" showInputMessage="false" sqref="C5:C13" type="list">
      <formula1>"ECHO,Fonds privés,USAID/BHA,UE"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3</v>
      </c>
      <c r="B4" s="3" t="s">
        <v>4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n">
        <f aca="false">Budget!G5</f>
        <v>5400</v>
      </c>
      <c r="D5" s="4" t="n">
        <v>3200</v>
      </c>
      <c r="E5" s="4" t="n">
        <v>2100</v>
      </c>
      <c r="F5" s="4" t="n">
        <f aca="false">D5</f>
        <v>3200</v>
      </c>
      <c r="G5" s="4" t="n">
        <f aca="false">C5-F5</f>
        <v>2200</v>
      </c>
      <c r="H5" s="7" t="n">
        <f aca="false">IFERROR(F5/C5,0)</f>
        <v>0.592592592592593</v>
      </c>
    </row>
    <row r="6" customFormat="false" ht="15" hidden="false" customHeight="false" outlineLevel="0" collapsed="false">
      <c r="A6" s="5" t="s">
        <v>13</v>
      </c>
      <c r="B6" s="5" t="s">
        <v>11</v>
      </c>
      <c r="C6" s="5" t="n">
        <f aca="false">Budget!G6</f>
        <v>36000</v>
      </c>
      <c r="D6" s="5" t="n">
        <v>34500</v>
      </c>
      <c r="E6" s="5" t="n">
        <v>30000</v>
      </c>
      <c r="F6" s="5" t="n">
        <f aca="false">D6</f>
        <v>34500</v>
      </c>
      <c r="G6" s="5" t="n">
        <f aca="false">C6-F6</f>
        <v>1500</v>
      </c>
      <c r="H6" s="8" t="n">
        <f aca="false">IFERROR(F6/C6,0)</f>
        <v>0.958333333333333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n">
        <f aca="false">Budget!G7</f>
        <v>3200</v>
      </c>
      <c r="D7" s="4" t="n">
        <v>3200</v>
      </c>
      <c r="E7" s="4" t="n">
        <v>2900</v>
      </c>
      <c r="F7" s="4" t="n">
        <f aca="false">D7</f>
        <v>3200</v>
      </c>
      <c r="G7" s="4" t="n">
        <f aca="false">C7-F7</f>
        <v>0</v>
      </c>
      <c r="H7" s="7" t="n">
        <f aca="false">IFERROR(F7/C7,0)</f>
        <v>1</v>
      </c>
    </row>
    <row r="8" customFormat="false" ht="15" hidden="false" customHeight="false" outlineLevel="0" collapsed="false">
      <c r="A8" s="5" t="s">
        <v>29</v>
      </c>
      <c r="B8" s="5" t="s">
        <v>11</v>
      </c>
      <c r="C8" s="5" t="n">
        <f aca="false">Budget!G8</f>
        <v>9600</v>
      </c>
      <c r="D8" s="5" t="n">
        <v>6400</v>
      </c>
      <c r="E8" s="5" t="n">
        <v>6400</v>
      </c>
      <c r="F8" s="5" t="n">
        <f aca="false">D8</f>
        <v>6400</v>
      </c>
      <c r="G8" s="5" t="n">
        <f aca="false">C8-F8</f>
        <v>3200</v>
      </c>
      <c r="H8" s="8" t="n">
        <f aca="false">IFERROR(F8/C8,0)</f>
        <v>0.666666666666667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5" customFormat="false" ht="15" hidden="false" customHeight="false" outlineLevel="0" collapsed="false">
      <c r="A15" s="2" t="s">
        <v>30</v>
      </c>
      <c r="B15" s="2"/>
      <c r="C15" s="2"/>
      <c r="D15" s="2"/>
      <c r="E15" s="2"/>
      <c r="F15" s="2"/>
      <c r="G15" s="2"/>
      <c r="H15" s="2"/>
    </row>
  </sheetData>
  <mergeCells count="3">
    <mergeCell ref="A1:H1"/>
    <mergeCell ref="A2:H2"/>
    <mergeCell ref="A15:H15"/>
  </mergeCells>
  <conditionalFormatting sqref="H5:H8">
    <cfRule type="cellIs" priority="2" operator="greaterThan" aboveAverage="0" equalAverage="0" bottom="0" percent="0" rank="0" text="" dxfId="0">
      <formula>0.85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2026-09-09T21:44:59Z</dcterms:created>
  <dc:creator>openpyxl</dc:creator>
  <dc:description/>
  <dc:language>fr-FR</dc:language>
  <cp:lastModifiedBy/>
  <dcterms:modified xsi:type="dcterms:W3CDTF">2026-09-09T21:44:59Z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