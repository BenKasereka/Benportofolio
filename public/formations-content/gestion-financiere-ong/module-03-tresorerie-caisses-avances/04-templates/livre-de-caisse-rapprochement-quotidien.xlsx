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vre de caisse" sheetId="1" state="visible" r:id="rId3"/>
    <sheet name="Rapprochement quotidi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<sst xmlns="http://schemas.openxmlformats.org/spreadsheetml/2006/main" count="36" uniqueCount="28">
  <si>
    <t xml:space="preserve">LIVRE DE CAISSE — SUIVI QUOTIDIEN</t>
  </si>
  <si>
    <t xml:space="preserve">Module 03 · Trésorerie, Caisses &amp; Avances Terrain · BK-BOOST Ltd.</t>
  </si>
  <si>
    <t xml:space="preserve">Date</t>
  </si>
  <si>
    <t xml:space="preserve">Référence pièce</t>
  </si>
  <si>
    <t xml:space="preserve">Libellé</t>
  </si>
  <si>
    <t xml:space="preserve">Entrée (USD)</t>
  </si>
  <si>
    <t xml:space="preserve">Sortie (USD)</t>
  </si>
  <si>
    <t xml:space="preserve">Solde théorique</t>
  </si>
  <si>
    <t xml:space="preserve">Devise</t>
  </si>
  <si>
    <t xml:space="preserve">2026-03-01</t>
  </si>
  <si>
    <t xml:space="preserve">OUV-001</t>
  </si>
  <si>
    <t xml:space="preserve">Solde d'ouverture du mois</t>
  </si>
  <si>
    <t xml:space="preserve">USD</t>
  </si>
  <si>
    <t xml:space="preserve">2026-03-02</t>
  </si>
  <si>
    <t xml:space="preserve">AV-014</t>
  </si>
  <si>
    <t xml:space="preserve">Avance carburant véhicule L-02</t>
  </si>
  <si>
    <t xml:space="preserve">2026-03-03</t>
  </si>
  <si>
    <t xml:space="preserve">DEP-022</t>
  </si>
  <si>
    <t xml:space="preserve">Remboursement fournitures bureau</t>
  </si>
  <si>
    <t xml:space="preserve">2026-03-04</t>
  </si>
  <si>
    <t xml:space="preserve">REC-009</t>
  </si>
  <si>
    <t xml:space="preserve">Reversement avance non utilisée</t>
  </si>
  <si>
    <t xml:space="preserve">RAPPROCHEMENT DE CAISSE QUOTIDIEN</t>
  </si>
  <si>
    <t xml:space="preserve">À compléter chaque jour de clôture, sans exception.</t>
  </si>
  <si>
    <t xml:space="preserve">Solde théorique (livre)</t>
  </si>
  <si>
    <t xml:space="preserve">Comptage physique</t>
  </si>
  <si>
    <t xml:space="preserve">Écart</t>
  </si>
  <si>
    <t xml:space="preserve">Statut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</si>
</sst>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n">
        <v>1500</v>
      </c>
      <c r="E5" s="4" t="n">
        <v>0</v>
      </c>
      <c r="F5" s="4" t="n">
        <f aca="false">SUM(D5)-SUM(E5)</f>
        <v>1500</v>
      </c>
      <c r="G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n">
        <v>0</v>
      </c>
      <c r="E6" s="5" t="n">
        <v>120</v>
      </c>
      <c r="F6" s="5" t="n">
        <f aca="false">F5+D6-E6</f>
        <v>1380</v>
      </c>
      <c r="G6" s="5" t="s">
        <v>12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18</v>
      </c>
      <c r="D7" s="4" t="n">
        <v>0</v>
      </c>
      <c r="E7" s="4" t="n">
        <v>45</v>
      </c>
      <c r="F7" s="4" t="n">
        <f aca="false">F6+D7-E7</f>
        <v>1335</v>
      </c>
      <c r="G7" s="4" t="s">
        <v>12</v>
      </c>
    </row>
    <row r="8" customFormat="false" ht="15" hidden="false" customHeight="false" outlineLevel="0" collapsed="false">
      <c r="A8" s="5" t="s">
        <v>19</v>
      </c>
      <c r="B8" s="5" t="s">
        <v>20</v>
      </c>
      <c r="C8" s="5" t="s">
        <v>21</v>
      </c>
      <c r="D8" s="5" t="n">
        <v>15</v>
      </c>
      <c r="E8" s="5" t="n">
        <v>0</v>
      </c>
      <c r="F8" s="5" t="n">
        <f aca="false">F7+D8-E8</f>
        <v>1350</v>
      </c>
      <c r="G8" s="5" t="s">
        <v>12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24</v>
      </c>
      <c r="C4" s="3" t="s">
        <v>25</v>
      </c>
      <c r="D4" s="3" t="s">
        <v>26</v>
      </c>
      <c r="E4" s="3" t="s">
        <v>27</v>
      </c>
    </row>
    <row r="5" customFormat="false" ht="15" hidden="false" customHeight="false" outlineLevel="0" collapsed="false">
      <c r="A5" s="4" t="s">
        <v>9</v>
      </c>
      <c r="B5" s="4" t="n">
        <f aca="false">'Livre de caisse'!F5</f>
        <v>1500</v>
      </c>
      <c r="C5" s="4" t="n">
        <v>1500</v>
      </c>
      <c r="D5" s="4" t="n">
        <f aca="false">C5-B5</f>
        <v>0</v>
      </c>
      <c r="E5" s="4" t="str">
        <f aca="false">IF(ABS(D5)&lt;=1,"OK","À INVESTIGUER")</f>
        <v>OK</v>
      </c>
    </row>
    <row r="6" customFormat="false" ht="15" hidden="false" customHeight="false" outlineLevel="0" collapsed="false">
      <c r="A6" s="5" t="s">
        <v>13</v>
      </c>
      <c r="B6" s="5" t="n">
        <f aca="false">'Livre de caisse'!F6</f>
        <v>1380</v>
      </c>
      <c r="C6" s="5" t="n">
        <v>1380</v>
      </c>
      <c r="D6" s="5" t="n">
        <f aca="false">C6-B6</f>
        <v>0</v>
      </c>
      <c r="E6" s="5" t="str">
        <f aca="false">IF(ABS(D6)&lt;=1,"OK","À INVESTIGUER")</f>
        <v>OK</v>
      </c>
    </row>
    <row r="7" customFormat="false" ht="15" hidden="false" customHeight="false" outlineLevel="0" collapsed="false">
      <c r="A7" s="4" t="s">
        <v>16</v>
      </c>
      <c r="B7" s="4" t="n">
        <f aca="false">'Livre de caisse'!F7</f>
        <v>1335</v>
      </c>
      <c r="C7" s="4" t="n">
        <v>1335</v>
      </c>
      <c r="D7" s="4" t="n">
        <f aca="false">C7-B7</f>
        <v>0</v>
      </c>
      <c r="E7" s="4" t="str">
        <f aca="false">IF(ABS(D7)&lt;=1,"OK","À INVESTIGUER")</f>
        <v>OK</v>
      </c>
    </row>
    <row r="8" customFormat="false" ht="15" hidden="false" customHeight="false" outlineLevel="0" collapsed="false">
      <c r="A8" s="5" t="s">
        <v>19</v>
      </c>
      <c r="B8" s="5" t="n">
        <f aca="false">'Livre de caisse'!F8</f>
        <v>1350</v>
      </c>
      <c r="C8" s="5" t="n">
        <v>1310</v>
      </c>
      <c r="D8" s="5" t="n">
        <f aca="false">C8-B8</f>
        <v>-40</v>
      </c>
      <c r="E8" s="5" t="str">
        <f aca="false">IF(ABS(D8)&lt;=1,"OK","À INVESTIGUER")</f>
        <v>À INVESTIGUER</v>
      </c>
    </row>
    <row r="9" customFormat="false" ht="15" hidden="false" customHeight="false" outlineLevel="0" collapsed="false">
      <c r="A9" s="6"/>
      <c r="B9" s="6"/>
      <c r="C9" s="6"/>
      <c r="D9" s="6"/>
      <c r="E9" s="6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6"/>
      <c r="B12" s="6"/>
      <c r="C12" s="6"/>
      <c r="D12" s="6"/>
      <c r="E12" s="6"/>
    </row>
    <row r="13" customFormat="false" ht="15" hidden="false" customHeight="false" outlineLevel="0" collapsed="false">
      <c r="A13" s="6"/>
      <c r="B13" s="6"/>
      <c r="C13" s="6"/>
      <c r="D13" s="6"/>
      <c r="E13" s="6"/>
    </row>
    <row r="14" customFormat="false" ht="15" hidden="false" customHeight="false" outlineLevel="0" collapsed="false">
      <c r="A14" s="6"/>
      <c r="B14" s="6"/>
      <c r="C14" s="6"/>
      <c r="D14" s="6"/>
      <c r="E14" s="6"/>
    </row>
  </sheetData>
  <mergeCells count="2">
    <mergeCell ref="A1:E1"/>
    <mergeCell ref="A2:E2"/>
  </mergeCells>
  <conditionalFormatting sqref="E5:E8">
    <cfRule type="expression" priority="2" aboveAverage="0" equalAverage="0" bottom="0" percent="0" rank="0" text="" dxfId="0">
      <formula>$E5="À INVESTIGUER"</formula>
    </cfRule>
    <cfRule type="expression" priority="3" aboveAverage="0" equalAverage="0" bottom="0" percent="0" rank="0" text="" dxfId="1">
      <formula>$E5="OK"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2026-09-09T21:44:59Z</dcterms:created>
  <dc:creator>openpyxl</dc:creator>
  <dc:description/>
  <dc:language>fr-FR</dc:language>
  <cp:lastModifiedBy/>
  <dcterms:modified xsi:type="dcterms:W3CDTF">2026-09-09T21:44:59Z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