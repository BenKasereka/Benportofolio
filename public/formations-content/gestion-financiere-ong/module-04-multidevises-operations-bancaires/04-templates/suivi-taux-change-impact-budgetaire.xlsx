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ux de change mensuel" sheetId="1" state="visible" r:id="rId3"/>
    <sheet name="Impact par transaction" sheetId="2" state="visible" r:id="rId4"/>
    <sheet name="Synthèse cumulé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<sst xmlns="http://schemas.openxmlformats.org/spreadsheetml/2006/main" count="23" uniqueCount="23">
  <si>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SUIVI DU TAUX DE CHANGE MENSUEL</t>
  </si>
  <si>
    <t xml:space="preserve">Module 04 · Gestion Multi-Devises &amp; Opérations Bancaires · BK-BOOST Ltd.</t>
  </si>
  <si>
    <t xml:space="preserve">Mois</t>
  </si>
  <si>
    <t xml:space="preserve">Taux budgété (CDF/USD)</t>
  </si>
  <si>
    <t xml:space="preserve">Taux officiel comptable du mois</t>
  </si>
  <si>
    <t xml:space="preserve">Taux marché observé</t>
  </si>
  <si>
    <t xml:space="preserve">Écart taux (%)</t>
  </si>
  <si>
    <t xml:space="preserve">2026-01</t>
  </si>
  <si>
    <t xml:space="preserve">2026-02</t>
  </si>
  <si>
    <t xml:space="preserve">2026-03</t>
  </si>
  <si>
    <t xml:space="preserve">CALCULATEUR DE GAIN/PERTE DE CHANGE</t>
  </si>
  <si>
    <t xml:space="preserve">Impact budgétaire d'une transaction convertie à un taux différent du taux budgété.</t>
  </si>
  <si>
    <t xml:space="preserve">Transaction</t>
  </si>
  <si>
    <t xml:space="preserve">Montant (USD)</t>
  </si>
  <si>
    <t xml:space="preserve">Taux budgété</t>
  </si>
  <si>
    <t xml:space="preserve">Taux appliqué</t>
  </si>
  <si>
    <t xml:space="preserve">Montant en CDF au taux appliqué</t>
  </si>
  <si>
    <t xml:space="preserve">Gain / (Perte) vs. budget (USD)</t>
  </si>
  <si>
    <t xml:space="preserve">Paiement loyer bureau</t>
  </si>
  <si>
    <t xml:space="preserve">Paiement fournisseur NFI</t>
  </si>
  <si>
    <t xml:space="preserve">IMPACT CUMULÉ DU CHANGE SUR LE BUDGET</t>
  </si>
  <si>
    <t xml:space="preserve">Ne pas modifier — alimentée par la feuille 'Impact par transaction'.</t>
  </si>
  <si>
    <t xml:space="preserve">Total gain / (perte) de change cumulé (USD)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</si>
</sst>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2600</v>
      </c>
      <c r="C5" s="4" t="n">
        <v>2650</v>
      </c>
      <c r="D5" s="4" t="n">
        <v>2680</v>
      </c>
      <c r="E5" s="5" t="n">
        <f aca="false">(C5-B5)/B5</f>
        <v>0.0192307692307692</v>
      </c>
    </row>
    <row r="6" customFormat="false" ht="15" hidden="false" customHeight="false" outlineLevel="0" collapsed="false">
      <c r="A6" s="6" t="s">
        <v>8</v>
      </c>
      <c r="B6" s="6" t="n">
        <v>2600</v>
      </c>
      <c r="C6" s="6" t="n">
        <v>2720</v>
      </c>
      <c r="D6" s="6" t="n">
        <v>2750</v>
      </c>
      <c r="E6" s="7" t="n">
        <f aca="false">(C6-B6)/B6</f>
        <v>0.0461538461538462</v>
      </c>
    </row>
    <row r="7" customFormat="false" ht="15" hidden="false" customHeight="false" outlineLevel="0" collapsed="false">
      <c r="A7" s="4" t="s">
        <v>9</v>
      </c>
      <c r="B7" s="4" t="n">
        <v>2600</v>
      </c>
      <c r="C7" s="4" t="n">
        <v>2810</v>
      </c>
      <c r="D7" s="4" t="n">
        <v>2830</v>
      </c>
      <c r="E7" s="5" t="n">
        <f aca="false">(C7-B7)/B7</f>
        <v>0.0807692307692308</v>
      </c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10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customFormat="false" ht="15" hidden="false" customHeight="false" outlineLevel="0" collapsed="false">
      <c r="A5" s="4" t="s">
        <v>18</v>
      </c>
      <c r="B5" s="4" t="n">
        <v>500</v>
      </c>
      <c r="C5" s="4" t="n">
        <f aca="false">'Taux de change mensuel'!B5</f>
        <v>2600</v>
      </c>
      <c r="D5" s="4" t="n">
        <f aca="false">'Taux de change mensuel'!C7</f>
        <v>2810</v>
      </c>
      <c r="E5" s="4" t="n">
        <f aca="false">B5*D5</f>
        <v>1405000</v>
      </c>
      <c r="F5" s="4" t="n">
        <f aca="false">(D5-C5)*B5/C5*-1</f>
        <v>-40.3846153846154</v>
      </c>
    </row>
    <row r="6" customFormat="false" ht="15" hidden="false" customHeight="false" outlineLevel="0" collapsed="false">
      <c r="A6" s="6" t="s">
        <v>19</v>
      </c>
      <c r="B6" s="6" t="n">
        <v>3000</v>
      </c>
      <c r="C6" s="6" t="n">
        <f aca="false">'Taux de change mensuel'!B5</f>
        <v>2600</v>
      </c>
      <c r="D6" s="6" t="n">
        <f aca="false">'Taux de change mensuel'!C6</f>
        <v>2720</v>
      </c>
      <c r="E6" s="6" t="n">
        <f aca="false">B6*D6</f>
        <v>8160000</v>
      </c>
      <c r="F6" s="6" t="n">
        <f aca="false">(D6-C6)*B6/C6*-1</f>
        <v>-138.461538461538</v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</sheetData>
  <mergeCells count="2">
    <mergeCell ref="A1:F1"/>
    <mergeCell ref="A2:F2"/>
  </mergeCells>
  <conditionalFormatting sqref="F5:F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" t="s">
        <v>20</v>
      </c>
      <c r="B1" s="1"/>
    </row>
    <row r="2" customFormat="false" ht="15" hidden="false" customHeight="false" outlineLevel="0" collapsed="false">
      <c r="A2" s="2" t="s">
        <v>21</v>
      </c>
      <c r="B2" s="2"/>
    </row>
    <row r="4" customFormat="false" ht="15" hidden="false" customHeight="false" outlineLevel="0" collapsed="false">
      <c r="A4" s="9" t="s">
        <v>22</v>
      </c>
      <c r="B4" s="10" t="n">
        <f aca="false">SUM('Impact par transaction'!F5:F6)</f>
        <v>-178.846153846154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2026-09-09T21:44:59Z</dcterms:created>
  <dc:creator>openpyxl</dc:creator>
  <dc:description/>
  <dc:language>fr-FR</dc:language>
  <cp:lastModifiedBy/>
  <dcterms:modified xsi:type="dcterms:W3CDTF">2026-09-09T21:44:59Z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