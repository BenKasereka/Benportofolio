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pport Financier" sheetId="1" state="visible" r:id="rId3"/>
    <sheet name="Synthè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<sst xmlns="http://schemas.openxmlformats.org/spreadsheetml/2006/main" count="61" uniqueCount="54">
  <si>
    <t xml:space="preserve">RAPPORT FINANCIER BAILLEUR — SUIVI PAR RUBRIQUE BUDGÉTAIRE</t>
  </si>
  <si>
    <t xml:space="preserve">Module 05 — Rapports Financiers pour Bailleurs · Formation en Gestion Financière d'une ONG Humanitaire · BK-BOOST Ltd.</t>
  </si>
  <si>
    <t xml:space="preserve">Organisation :</t>
  </si>
  <si>
    <t xml:space="preserve">Période couverte :</t>
  </si>
  <si>
    <t xml:space="preserve">Ex. : Trimestre 3 — 01/01/2026 au 31/03/2026</t>
  </si>
  <si>
    <t xml:space="preserve">Nom du projet :</t>
  </si>
  <si>
    <t xml:space="preserve">Devise de rapportage :</t>
  </si>
  <si>
    <t xml:space="preserve">Ex. : EUR / USD</t>
  </si>
  <si>
    <t xml:space="preserve">Bailleur :</t>
  </si>
  <si>
    <t xml:space="preserve">ECHO / USAID-BHA / Agence onusienne (à préciser)</t>
  </si>
  <si>
    <t xml:space="preserve">Taux de change appliqué :</t>
  </si>
  <si>
    <t xml:space="preserve">Taux fixe contractuel si ECHO</t>
  </si>
  <si>
    <t xml:space="preserve">N° de contrat / award :</t>
  </si>
  <si>
    <t xml:space="preserve">Préparé par / date :</t>
  </si>
  <si>
    <t xml:space="preserve">N°</t>
  </si>
  <si>
    <t xml:space="preserve">Rubrique budgétaire</t>
  </si>
  <si>
    <t xml:space="preserve">Budget alloué</t>
  </si>
  <si>
    <t xml:space="preserve">Dépenses
cumulées à date</t>
  </si>
  <si>
    <t xml:space="preserve">Solde
disponible</t>
  </si>
  <si>
    <t xml:space="preserve">% consommé</t>
  </si>
  <si>
    <t xml:space="preserve">Justificatifs (3-way match)
statut &amp; référence</t>
  </si>
  <si>
    <t xml:space="preserve">Dernière
vérification</t>
  </si>
  <si>
    <t xml:space="preserve">A. Ressources humaines</t>
  </si>
  <si>
    <t xml:space="preserve">À compléter — statut par pièce (Complet / À confirmer)</t>
  </si>
  <si>
    <t xml:space="preserve">B. Transport &amp; distribution</t>
  </si>
  <si>
    <t xml:space="preserve">C. Équipement &amp; fournitures NFI</t>
  </si>
  <si>
    <t xml:space="preserve">D. Fonctionnement bureau/base</t>
  </si>
  <si>
    <t xml:space="preserve">E. Renforcement de capacités / formations</t>
  </si>
  <si>
    <t xml:space="preserve">F. Suivi-évaluation (MEAL)</t>
  </si>
  <si>
    <t xml:space="preserve">G. Coûts de support / overhead</t>
  </si>
  <si>
    <t xml:space="preserve">H. Imprévus / ligne de contingence</t>
  </si>
  <si>
    <t xml:space="preserve">TOTAL PROJET</t>
  </si>
  <si>
    <t xml:space="preserve">Seuil de flexibilité budgétaire du bailleur (ex. 10 % chez ECHO) :</t>
  </si>
  <si>
    <t xml:space="preserve">Seuil de flexibilité (%)</t>
  </si>
  <si>
    <t xml:space="preserve">Toute rubrique dont le % consommé dépasse le budget alloué + ce seuil doit déclencher une vérification d'imputation ou une demande d'avenant avant soumission.</t>
  </si>
  <si>
    <t xml:space="preserve">Colonne « Justificatifs » : ne marquer une ligne « Complet » que si les 3 pièces du 3-way match (contrat/bon de commande, facture, preuve de paiement) sont réunies et se recoupent. Voir 01-théorie.md et 02-outils.md du Module 05.</t>
  </si>
  <si>
    <t xml:space="preserve">SYNTHÈSE &amp; PRÉPARATION À LA SOUMISSION</t>
  </si>
  <si>
    <t xml:space="preserve">Calculée automatiquement à partir de l'onglet « Rapport Financier » — ne pas modifier les formules.</t>
  </si>
  <si>
    <t xml:space="preserve">Indicateur</t>
  </si>
  <si>
    <t xml:space="preserve">Valeur</t>
  </si>
  <si>
    <t xml:space="preserve">Interprétation</t>
  </si>
  <si>
    <t xml:space="preserve">Budget total du projet</t>
  </si>
  <si>
    <t xml:space="preserve">Budget global toutes rubriques confondues.</t>
  </si>
  <si>
    <t xml:space="preserve">Dépenses cumulées à date</t>
  </si>
  <si>
    <t xml:space="preserve">Doit correspondre à la comptabilité analytique de la période rapportée.</t>
  </si>
  <si>
    <t xml:space="preserve">Solde disponible</t>
  </si>
  <si>
    <t xml:space="preserve">À rapprocher du taux d'avancement programmatique réel.</t>
  </si>
  <si>
    <t xml:space="preserve">% global consommé</t>
  </si>
  <si>
    <t xml:space="preserve">Comparer à l'avancement calendaire du projet — un écart important doit être expliqué.</t>
  </si>
  <si>
    <t xml:space="preserve">Nombre de rubriques</t>
  </si>
  <si>
    <t xml:space="preserve">Nombre de lignes budgétaires actives sur le projet.</t>
  </si>
  <si>
    <t xml:space="preserve">Rubriques à justificatifs incomplets</t>
  </si>
  <si>
    <t xml:space="preserve">Doit être à zéro avant toute soumission au bailleur.</t>
  </si>
  <si>
    <t xml:space="preserve">Avant soumission : vérifier que « Rubriques à justificatifs incomplets » = 0 et que ce rapport a été réconcilié avec le rapport narratif via checklist-reconciliation-finance-programme.docx.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</si>
</sst>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,&quot;EUR&quot;"/>
    <numFmt numFmtId="166" formatCode="0.0%"/>
    <numFmt numFmtId="167" formatCode="0\ %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1E3A8A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FFFFFF"/>
        <bgColor rgb="FFECFDF5"/>
      </patternFill>
    </fill>
    <fill>
      <patternFill patternType="solid">
        <fgColor rgb="FFECFDF5"/>
        <bgColor rgb="FFFFFFFF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C4" s="4"/>
      <c r="E4" s="3" t="s">
        <v>3</v>
      </c>
      <c r="G4" s="5" t="s">
        <v>4</v>
      </c>
    </row>
    <row r="5" customFormat="false" ht="15" hidden="false" customHeight="true" outlineLevel="0" collapsed="false">
      <c r="A5" s="3" t="s">
        <v>5</v>
      </c>
      <c r="C5" s="4"/>
      <c r="E5" s="3" t="s">
        <v>6</v>
      </c>
      <c r="G5" s="5" t="s">
        <v>7</v>
      </c>
    </row>
    <row r="6" customFormat="false" ht="15" hidden="false" customHeight="true" outlineLevel="0" collapsed="false">
      <c r="A6" s="3" t="s">
        <v>8</v>
      </c>
      <c r="C6" s="5" t="s">
        <v>9</v>
      </c>
      <c r="E6" s="3" t="s">
        <v>10</v>
      </c>
      <c r="G6" s="5" t="s">
        <v>11</v>
      </c>
    </row>
    <row r="7" customFormat="false" ht="15" hidden="false" customHeight="true" outlineLevel="0" collapsed="false">
      <c r="A7" s="3" t="s">
        <v>12</v>
      </c>
      <c r="C7" s="4"/>
      <c r="E7" s="3" t="s">
        <v>13</v>
      </c>
      <c r="G7" s="4"/>
    </row>
    <row r="9" customFormat="false" ht="6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1" customFormat="false" ht="30" hidden="false" customHeight="true" outlineLevel="0" collapsed="false">
      <c r="A11" s="7" t="s">
        <v>14</v>
      </c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</row>
    <row r="12" customFormat="false" ht="18" hidden="false" customHeight="true" outlineLevel="0" collapsed="false">
      <c r="A12" s="8" t="n">
        <v>1</v>
      </c>
      <c r="B12" s="9" t="s">
        <v>22</v>
      </c>
      <c r="C12" s="10" t="n">
        <v>48000</v>
      </c>
      <c r="D12" s="10" t="n">
        <v>36500</v>
      </c>
      <c r="E12" s="10" t="n">
        <f aca="false">C12-D12</f>
        <v>11500</v>
      </c>
      <c r="F12" s="11" t="n">
        <f aca="false">IF(C12=0,0,D12/C12)</f>
        <v>0.760416666666667</v>
      </c>
      <c r="G12" s="12" t="s">
        <v>23</v>
      </c>
      <c r="H12" s="9"/>
    </row>
    <row r="13" customFormat="false" ht="18" hidden="false" customHeight="true" outlineLevel="0" collapsed="false">
      <c r="A13" s="13" t="n">
        <v>2</v>
      </c>
      <c r="B13" s="14" t="s">
        <v>24</v>
      </c>
      <c r="C13" s="15" t="n">
        <v>62000</v>
      </c>
      <c r="D13" s="15" t="n">
        <v>51200</v>
      </c>
      <c r="E13" s="15" t="n">
        <f aca="false">C13-D13</f>
        <v>10800</v>
      </c>
      <c r="F13" s="16" t="n">
        <f aca="false">IF(C13=0,0,D13/C13)</f>
        <v>0.825806451612903</v>
      </c>
      <c r="G13" s="17" t="s">
        <v>23</v>
      </c>
      <c r="H13" s="14"/>
    </row>
    <row r="14" customFormat="false" ht="18" hidden="false" customHeight="true" outlineLevel="0" collapsed="false">
      <c r="A14" s="8" t="n">
        <v>3</v>
      </c>
      <c r="B14" s="9" t="s">
        <v>25</v>
      </c>
      <c r="C14" s="10" t="n">
        <v>95000</v>
      </c>
      <c r="D14" s="10" t="n">
        <v>88400</v>
      </c>
      <c r="E14" s="10" t="n">
        <f aca="false">C14-D14</f>
        <v>6600</v>
      </c>
      <c r="F14" s="11" t="n">
        <f aca="false">IF(C14=0,0,D14/C14)</f>
        <v>0.930526315789474</v>
      </c>
      <c r="G14" s="12" t="s">
        <v>23</v>
      </c>
      <c r="H14" s="9"/>
    </row>
    <row r="15" customFormat="false" ht="18" hidden="false" customHeight="true" outlineLevel="0" collapsed="false">
      <c r="A15" s="13" t="n">
        <v>4</v>
      </c>
      <c r="B15" s="14" t="s">
        <v>26</v>
      </c>
      <c r="C15" s="15" t="n">
        <v>18000</v>
      </c>
      <c r="D15" s="15" t="n">
        <v>12100</v>
      </c>
      <c r="E15" s="15" t="n">
        <f aca="false">C15-D15</f>
        <v>5900</v>
      </c>
      <c r="F15" s="16" t="n">
        <f aca="false">IF(C15=0,0,D15/C15)</f>
        <v>0.672222222222222</v>
      </c>
      <c r="G15" s="17" t="s">
        <v>23</v>
      </c>
      <c r="H15" s="14"/>
    </row>
    <row r="16" customFormat="false" ht="18" hidden="false" customHeight="true" outlineLevel="0" collapsed="false">
      <c r="A16" s="8" t="n">
        <v>5</v>
      </c>
      <c r="B16" s="9" t="s">
        <v>27</v>
      </c>
      <c r="C16" s="10" t="n">
        <v>9000</v>
      </c>
      <c r="D16" s="10" t="n">
        <v>4200</v>
      </c>
      <c r="E16" s="10" t="n">
        <f aca="false">C16-D16</f>
        <v>4800</v>
      </c>
      <c r="F16" s="11" t="n">
        <f aca="false">IF(C16=0,0,D16/C16)</f>
        <v>0.466666666666667</v>
      </c>
      <c r="G16" s="12" t="s">
        <v>23</v>
      </c>
      <c r="H16" s="9"/>
    </row>
    <row r="17" customFormat="false" ht="18" hidden="false" customHeight="true" outlineLevel="0" collapsed="false">
      <c r="A17" s="13" t="n">
        <v>6</v>
      </c>
      <c r="B17" s="14" t="s">
        <v>28</v>
      </c>
      <c r="C17" s="15" t="n">
        <v>11000</v>
      </c>
      <c r="D17" s="15" t="n">
        <v>6800</v>
      </c>
      <c r="E17" s="15" t="n">
        <f aca="false">C17-D17</f>
        <v>4200</v>
      </c>
      <c r="F17" s="16" t="n">
        <f aca="false">IF(C17=0,0,D17/C17)</f>
        <v>0.618181818181818</v>
      </c>
      <c r="G17" s="17" t="s">
        <v>23</v>
      </c>
      <c r="H17" s="14"/>
    </row>
    <row r="18" customFormat="false" ht="18" hidden="false" customHeight="true" outlineLevel="0" collapsed="false">
      <c r="A18" s="8" t="n">
        <v>7</v>
      </c>
      <c r="B18" s="9" t="s">
        <v>29</v>
      </c>
      <c r="C18" s="10" t="n">
        <v>14000</v>
      </c>
      <c r="D18" s="10" t="n">
        <v>9950</v>
      </c>
      <c r="E18" s="10" t="n">
        <f aca="false">C18-D18</f>
        <v>4050</v>
      </c>
      <c r="F18" s="11" t="n">
        <f aca="false">IF(C18=0,0,D18/C18)</f>
        <v>0.710714285714286</v>
      </c>
      <c r="G18" s="12" t="s">
        <v>23</v>
      </c>
      <c r="H18" s="9"/>
    </row>
    <row r="19" customFormat="false" ht="18" hidden="false" customHeight="true" outlineLevel="0" collapsed="false">
      <c r="A19" s="13" t="n">
        <v>8</v>
      </c>
      <c r="B19" s="14" t="s">
        <v>30</v>
      </c>
      <c r="C19" s="15" t="n">
        <v>6000</v>
      </c>
      <c r="D19" s="15" t="n">
        <v>0</v>
      </c>
      <c r="E19" s="15" t="n">
        <f aca="false">C19-D19</f>
        <v>6000</v>
      </c>
      <c r="F19" s="16" t="n">
        <f aca="false">IF(C19=0,0,D19/C19)</f>
        <v>0</v>
      </c>
      <c r="G19" s="17" t="s">
        <v>23</v>
      </c>
      <c r="H19" s="14"/>
    </row>
    <row r="20" customFormat="false" ht="18" hidden="false" customHeight="true" outlineLevel="0" collapsed="false">
      <c r="A20" s="18"/>
      <c r="B20" s="18" t="s">
        <v>31</v>
      </c>
      <c r="C20" s="19" t="n">
        <f aca="false">SUM(C12:C19)</f>
        <v>263000</v>
      </c>
      <c r="D20" s="19" t="n">
        <f aca="false">SUM(D12:D19)</f>
        <v>209150</v>
      </c>
      <c r="E20" s="19" t="n">
        <f aca="false">C20-D20</f>
        <v>53850</v>
      </c>
      <c r="F20" s="20" t="n">
        <f aca="false">IF(C20=0,0,D20/C20)</f>
        <v>0.795247148288973</v>
      </c>
      <c r="G20" s="18"/>
      <c r="H20" s="18"/>
    </row>
    <row r="22" customFormat="false" ht="15" hidden="false" customHeight="false" outlineLevel="0" collapsed="false">
      <c r="A22" s="21" t="s">
        <v>32</v>
      </c>
      <c r="B22" s="21"/>
      <c r="C22" s="21"/>
      <c r="D22" s="21"/>
      <c r="E22" s="21"/>
      <c r="F22" s="21"/>
      <c r="G22" s="21"/>
      <c r="H22" s="21"/>
    </row>
    <row r="23" customFormat="false" ht="22" hidden="false" customHeight="true" outlineLevel="0" collapsed="false">
      <c r="A23" s="22"/>
      <c r="B23" s="23" t="s">
        <v>33</v>
      </c>
      <c r="C23" s="24" t="n">
        <v>0.1</v>
      </c>
      <c r="D23" s="25" t="s">
        <v>34</v>
      </c>
      <c r="E23" s="25"/>
      <c r="F23" s="25"/>
      <c r="G23" s="25"/>
      <c r="H23" s="25"/>
    </row>
    <row r="25" customFormat="false" ht="27.75" hidden="false" customHeight="true" outlineLevel="0" collapsed="false">
      <c r="A25" s="25" t="s">
        <v>35</v>
      </c>
      <c r="B25" s="25"/>
      <c r="C25" s="25"/>
      <c r="D25" s="25"/>
      <c r="E25" s="25"/>
      <c r="F25" s="25"/>
      <c r="G25" s="25"/>
      <c r="H25" s="25"/>
    </row>
  </sheetData>
  <mergeCells count="6">
    <mergeCell ref="A1:H1"/>
    <mergeCell ref="A2:H2"/>
    <mergeCell ref="A9:H9"/>
    <mergeCell ref="A22:H22"/>
    <mergeCell ref="D23:H23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36</v>
      </c>
      <c r="B1" s="1"/>
      <c r="C1" s="1"/>
      <c r="D1" s="1"/>
    </row>
    <row r="2" customFormat="false" ht="15.75" hidden="false" customHeight="true" outlineLevel="0" collapsed="false">
      <c r="A2" s="26" t="s">
        <v>37</v>
      </c>
      <c r="B2" s="26"/>
      <c r="C2" s="26"/>
      <c r="D2" s="26"/>
    </row>
    <row r="4" customFormat="false" ht="19.5" hidden="false" customHeight="true" outlineLevel="0" collapsed="false">
      <c r="A4" s="7" t="s">
        <v>38</v>
      </c>
      <c r="B4" s="7" t="s">
        <v>39</v>
      </c>
      <c r="C4" s="7"/>
      <c r="D4" s="7" t="s">
        <v>40</v>
      </c>
    </row>
    <row r="5" customFormat="false" ht="24" hidden="false" customHeight="true" outlineLevel="0" collapsed="false">
      <c r="A5" s="9" t="s">
        <v>41</v>
      </c>
      <c r="B5" s="27" t="n">
        <f aca="false">'Rapport Financier'!C20</f>
        <v>263000</v>
      </c>
      <c r="C5" s="28"/>
      <c r="D5" s="12" t="s">
        <v>42</v>
      </c>
    </row>
    <row r="6" customFormat="false" ht="24" hidden="false" customHeight="true" outlineLevel="0" collapsed="false">
      <c r="A6" s="14" t="s">
        <v>43</v>
      </c>
      <c r="B6" s="29" t="n">
        <f aca="false">'Rapport Financier'!D20</f>
        <v>209150</v>
      </c>
      <c r="C6" s="30"/>
      <c r="D6" s="17" t="s">
        <v>44</v>
      </c>
    </row>
    <row r="7" customFormat="false" ht="24" hidden="false" customHeight="true" outlineLevel="0" collapsed="false">
      <c r="A7" s="9" t="s">
        <v>45</v>
      </c>
      <c r="B7" s="27" t="n">
        <f aca="false">'Rapport Financier'!E20</f>
        <v>53850</v>
      </c>
      <c r="C7" s="28"/>
      <c r="D7" s="12" t="s">
        <v>46</v>
      </c>
    </row>
    <row r="8" customFormat="false" ht="24" hidden="false" customHeight="true" outlineLevel="0" collapsed="false">
      <c r="A8" s="14" t="s">
        <v>47</v>
      </c>
      <c r="B8" s="31" t="n">
        <f aca="false">'Rapport Financier'!F20</f>
        <v>0.795247148288973</v>
      </c>
      <c r="C8" s="30"/>
      <c r="D8" s="17" t="s">
        <v>48</v>
      </c>
    </row>
    <row r="9" customFormat="false" ht="24" hidden="false" customHeight="true" outlineLevel="0" collapsed="false">
      <c r="A9" s="9" t="s">
        <v>49</v>
      </c>
      <c r="B9" s="32" t="n">
        <f aca="false">COUNTA('Rapport Financier'!B12:B19)</f>
        <v>8</v>
      </c>
      <c r="C9" s="28"/>
      <c r="D9" s="12" t="s">
        <v>50</v>
      </c>
    </row>
    <row r="10" customFormat="false" ht="24" hidden="false" customHeight="true" outlineLevel="0" collapsed="false">
      <c r="A10" s="14" t="s">
        <v>51</v>
      </c>
      <c r="B10" s="33" t="n">
        <f aca="false">COUNTIF('Rapport Financier'!G12:G19,"*confirmer*")</f>
        <v>8</v>
      </c>
      <c r="C10" s="30"/>
      <c r="D10" s="17" t="s">
        <v>52</v>
      </c>
    </row>
    <row r="12" customFormat="false" ht="30" hidden="false" customHeight="true" outlineLevel="0" collapsed="false">
      <c r="A12" s="25" t="s">
        <v>53</v>
      </c>
      <c r="B12" s="25"/>
      <c r="C12" s="25"/>
      <c r="D12" s="25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2026-08-31T21:10:54Z</dcterms:created>
  <dc:creator>openpyxl</dc:creator>
  <dc:description/>
  <dc:language>fr-FR</dc:language>
  <cp:lastModifiedBy/>
  <dcterms:modified xsi:type="dcterms:W3CDTF">2026-08-31T21:10:54Z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