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hecklist" sheetId="1" state="visible" r:id="rId3"/>
    <sheet name="Tableau de bo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<sst xmlns="http://schemas.openxmlformats.org/spreadsheetml/2006/main" count="202" uniqueCount="105">
  <si>
    <t xml:space="preserve">CHECKLIST DE PREPARATION DU DOSSIER D'AUDIT</t>
  </si>
  <si>
    <t xml:space="preserve">Formation en Gestion Financiere d'une ONG Humanitaire · Module 06 · BK-BOOST Ltd.</t>
  </si>
  <si>
    <t xml:space="preserve">Categorie</t>
  </si>
  <si>
    <t xml:space="preserve">Document requis</t>
  </si>
  <si>
    <t xml:space="preserve">Responsable</t>
  </si>
  <si>
    <t xml:space="preserve">Statut</t>
  </si>
  <si>
    <t xml:space="preserve">Emplacement (dossier partage)</t>
  </si>
  <si>
    <t xml:space="preserve">Derniere verification</t>
  </si>
  <si>
    <t xml:space="preserve">Commentaire</t>
  </si>
  <si>
    <t xml:space="preserve">1. Comptabilite generale</t>
  </si>
  <si>
    <t xml:space="preserve">Grand livre general (periode sous audit)</t>
  </si>
  <si>
    <t xml:space="preserve">Finance Officer</t>
  </si>
  <si>
    <t xml:space="preserve">Disponible</t>
  </si>
  <si>
    <t xml:space="preserve">Drive/Finance/GL</t>
  </si>
  <si>
    <t xml:space="preserve">Journaux de banque et de caisse</t>
  </si>
  <si>
    <t xml:space="preserve">Drive/Finance/Journaux</t>
  </si>
  <si>
    <t xml:space="preserve">Rapprochements bancaires mensuels signes</t>
  </si>
  <si>
    <t xml:space="preserve">Finance Manager</t>
  </si>
  <si>
    <t xml:space="preserve">A rassembler</t>
  </si>
  <si>
    <t xml:space="preserve">Drive/Finance/Rapprochements</t>
  </si>
  <si>
    <t xml:space="preserve">Juillet en attente de signature</t>
  </si>
  <si>
    <t xml:space="preserve">Plan comptable et codification par projet/bailleur</t>
  </si>
  <si>
    <t xml:space="preserve">Drive/Finance/PlanComptable</t>
  </si>
  <si>
    <t xml:space="preserve">Journal des ecritures de cloture / ajustements</t>
  </si>
  <si>
    <t xml:space="preserve">Drive/Finance/Clotures</t>
  </si>
  <si>
    <t xml:space="preserve">2. Achats et procurement</t>
  </si>
  <si>
    <t xml:space="preserve">Dossiers d'achat complets (demande, comparatif, BC, BL, facture)</t>
  </si>
  <si>
    <t xml:space="preserve">Logistique</t>
  </si>
  <si>
    <t xml:space="preserve">Manquant</t>
  </si>
  <si>
    <t xml:space="preserve">Drive/Logistique/Achats</t>
  </si>
  <si>
    <t xml:space="preserve">BL du dossier ACH-2026-014 introuvable</t>
  </si>
  <si>
    <t xml:space="preserve">Politique d'achats et seuils de delegation</t>
  </si>
  <si>
    <t xml:space="preserve">Drive/Finance/Politiques</t>
  </si>
  <si>
    <t xml:space="preserve">Registre des fournisseurs qualifies</t>
  </si>
  <si>
    <t xml:space="preserve">Drive/Logistique/Fournisseurs</t>
  </si>
  <si>
    <t xml:space="preserve">Preuves de mise en concurrence au-dessus du seuil bailleur</t>
  </si>
  <si>
    <t xml:space="preserve">2 dossiers sur 6 a completer</t>
  </si>
  <si>
    <t xml:space="preserve">Contrats et accords-cadres fournisseurs</t>
  </si>
  <si>
    <t xml:space="preserve">Drive/Finance/Contrats</t>
  </si>
  <si>
    <t xml:space="preserve">3. Ressources humaines et paie</t>
  </si>
  <si>
    <t xml:space="preserve">Contrats de travail du personnel projet</t>
  </si>
  <si>
    <t xml:space="preserve">RH</t>
  </si>
  <si>
    <t xml:space="preserve">Drive/RH/Contrats</t>
  </si>
  <si>
    <t xml:space="preserve">Feuilles de temps signees, allocation multi-projets</t>
  </si>
  <si>
    <t xml:space="preserve">Drive/RH/Timesheets</t>
  </si>
  <si>
    <t xml:space="preserve">Registres de paie mensuels</t>
  </si>
  <si>
    <t xml:space="preserve">Drive/RH/Paie</t>
  </si>
  <si>
    <t xml:space="preserve">Preuves de paiement des charges sociales/fiscales</t>
  </si>
  <si>
    <t xml:space="preserve">Drive/Finance/Charges</t>
  </si>
  <si>
    <t xml:space="preserve">Juin-Juillet a joindre</t>
  </si>
  <si>
    <t xml:space="preserve">Organigramme et delegations de signature a jour</t>
  </si>
  <si>
    <t xml:space="preserve">Drive/Finance/Delegations</t>
  </si>
  <si>
    <t xml:space="preserve">Delegation Coordinateur Terrain non formalisee</t>
  </si>
  <si>
    <t xml:space="preserve">4. Tresorerie et caisses</t>
  </si>
  <si>
    <t xml:space="preserve">Livres de caisse par bureau</t>
  </si>
  <si>
    <t xml:space="preserve">Caissiers</t>
  </si>
  <si>
    <t xml:space="preserve">Drive/Finance/Caisses</t>
  </si>
  <si>
    <t xml:space="preserve">Rapprochements de caisse (comptages physiques signes)</t>
  </si>
  <si>
    <t xml:space="preserve">Bureau des Cayes : dernier comptage vieux de 3 semaines</t>
  </si>
  <si>
    <t xml:space="preserve">Fiches d'avances sur justification et leur cloture</t>
  </si>
  <si>
    <t xml:space="preserve">Drive/Finance/Avances</t>
  </si>
  <si>
    <t xml:space="preserve">Registre des signataires bancaires</t>
  </si>
  <si>
    <t xml:space="preserve">Drive/Finance/Banque</t>
  </si>
  <si>
    <t xml:space="preserve">5. Immobilisations</t>
  </si>
  <si>
    <t xml:space="preserve">Registre des immobilisations a jour</t>
  </si>
  <si>
    <t xml:space="preserve">Drive/Logistique/Immobilisations</t>
  </si>
  <si>
    <t xml:space="preserve">Preuves d'inventaire physique annuel</t>
  </si>
  <si>
    <t xml:space="preserve">Inventaire du bureau des Cayes a finaliser</t>
  </si>
  <si>
    <t xml:space="preserve">Politique de cession/donation des equipements en fin de projet</t>
  </si>
  <si>
    <t xml:space="preserve">6. Accords bailleurs et budgets</t>
  </si>
  <si>
    <t xml:space="preserve">Accords de subvention signes et avenants</t>
  </si>
  <si>
    <t xml:space="preserve">Drive/Bailleurs/Accords</t>
  </si>
  <si>
    <t xml:space="preserve">Budgets approuves et versions revisees</t>
  </si>
  <si>
    <t xml:space="preserve">Drive/Bailleurs/Budgets</t>
  </si>
  <si>
    <t xml:space="preserve">Rapports financiers bailleurs soumis (BFU)</t>
  </si>
  <si>
    <t xml:space="preserve">Drive/Bailleurs/Rapports</t>
  </si>
  <si>
    <t xml:space="preserve">Correspondance officielle avec le bailleur</t>
  </si>
  <si>
    <t xml:space="preserve">Drive/Bailleurs/Correspondance</t>
  </si>
  <si>
    <t xml:space="preserve">7. Gouvernance et conformite</t>
  </si>
  <si>
    <t xml:space="preserve">Statuts et enregistrement legal a jour</t>
  </si>
  <si>
    <t xml:space="preserve">Direction Pays</t>
  </si>
  <si>
    <t xml:space="preserve">Drive/Direction/Legal</t>
  </si>
  <si>
    <t xml:space="preserve">Proces-verbaux du conseil d'administration / comite de pilotage</t>
  </si>
  <si>
    <t xml:space="preserve">Drive/Direction/PV</t>
  </si>
  <si>
    <t xml:space="preserve">PV du T2 en attente de signature</t>
  </si>
  <si>
    <t xml:space="preserve">Politique anti-fraude et de lutte contre la corruption</t>
  </si>
  <si>
    <t xml:space="preserve">Registre des conflits d'interets declares</t>
  </si>
  <si>
    <t xml:space="preserve">Non applicable</t>
  </si>
  <si>
    <t xml:space="preserve">Drive/RH/Conformite</t>
  </si>
  <si>
    <t xml:space="preserve">Aucun cas declare sur la periode</t>
  </si>
  <si>
    <t xml:space="preserve">8. Suivi des audits precedents</t>
  </si>
  <si>
    <t xml:space="preserve">Rapport d'audit et management letter de l'exercice precedent</t>
  </si>
  <si>
    <t xml:space="preserve">Drive/Audits/N-1</t>
  </si>
  <si>
    <t xml:space="preserve">Plan d'action correctif precedent et preuves de cloture</t>
  </si>
  <si>
    <t xml:space="preserve">Correspondance avec l'auditeur precedent</t>
  </si>
  <si>
    <t xml:space="preserve">Cette checklist se met a jour en continu, a chaque cloture mensuelle - pas seulement dans les semaines qui precedent une mission d'audit. Ajoutez des lignes si votre contexte (multi-bureaux, multi-bailleurs) l'exige.</t>
  </si>
  <si>
    <t xml:space="preserve">TABLEAU DE BORD - COMPLETUDE DU DOSSIER D'AUDIT</t>
  </si>
  <si>
    <t xml:space="preserve">Calcule automatiquement a partir de l'onglet Checklist — ne pas modifier les formules.</t>
  </si>
  <si>
    <t xml:space="preserve">Documents requis</t>
  </si>
  <si>
    <t xml:space="preserve">Documents disponibles</t>
  </si>
  <si>
    <t xml:space="preserve">% complet</t>
  </si>
  <si>
    <t xml:space="preserve">Documents manquants</t>
  </si>
  <si>
    <t xml:space="preserve">Statut global</t>
  </si>
  <si>
    <t xml:space="preserve">TOTAL GENERAL</t>
  </si>
  <si>
    <t xml:space="preserve">Une categorie passe automatiquement en "A COMPLETER" des qu'au moins un document y est marque "Manquant" dans l'onglet Checklist.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</si>
</sst>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\ 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9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65F46"/>
      </patternFill>
    </fill>
    <fill>
      <patternFill patternType="solid">
        <fgColor rgb="FFECFDF5"/>
        <bgColor rgb="FFF3F4F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/>
      <right/>
      <top style="double">
        <color rgb="FF1E3A8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65F46"/>
      </font>
      <fill>
        <patternFill>
          <bgColor rgb="FFD1FAE5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i val="1"/>
        <color rgb="FF6B7280"/>
      </font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3F4F6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4" t="s">
        <v>11</v>
      </c>
      <c r="D5" s="4" t="s">
        <v>12</v>
      </c>
      <c r="E5" s="4" t="s">
        <v>13</v>
      </c>
      <c r="F5" s="6" t="n">
        <v>46239</v>
      </c>
      <c r="G5" s="5"/>
    </row>
    <row r="6" customFormat="false" ht="15" hidden="false" customHeight="false" outlineLevel="0" collapsed="false">
      <c r="A6" s="7" t="s">
        <v>9</v>
      </c>
      <c r="B6" s="8" t="s">
        <v>14</v>
      </c>
      <c r="C6" s="7" t="s">
        <v>11</v>
      </c>
      <c r="D6" s="7" t="s">
        <v>12</v>
      </c>
      <c r="E6" s="7" t="s">
        <v>15</v>
      </c>
      <c r="F6" s="9" t="n">
        <v>46239</v>
      </c>
      <c r="G6" s="8"/>
    </row>
    <row r="7" customFormat="false" ht="15" hidden="false" customHeight="false" outlineLevel="0" collapsed="false">
      <c r="A7" s="4" t="s">
        <v>9</v>
      </c>
      <c r="B7" s="5" t="s">
        <v>16</v>
      </c>
      <c r="C7" s="4" t="s">
        <v>17</v>
      </c>
      <c r="D7" s="4" t="s">
        <v>18</v>
      </c>
      <c r="E7" s="4" t="s">
        <v>19</v>
      </c>
      <c r="F7" s="6" t="n">
        <v>46231</v>
      </c>
      <c r="G7" s="5" t="s">
        <v>20</v>
      </c>
    </row>
    <row r="8" customFormat="false" ht="15" hidden="false" customHeight="false" outlineLevel="0" collapsed="false">
      <c r="A8" s="7" t="s">
        <v>9</v>
      </c>
      <c r="B8" s="8" t="s">
        <v>21</v>
      </c>
      <c r="C8" s="7" t="s">
        <v>17</v>
      </c>
      <c r="D8" s="7" t="s">
        <v>12</v>
      </c>
      <c r="E8" s="7" t="s">
        <v>22</v>
      </c>
      <c r="F8" s="9" t="n">
        <v>46183</v>
      </c>
      <c r="G8" s="8"/>
    </row>
    <row r="9" customFormat="false" ht="15" hidden="false" customHeight="false" outlineLevel="0" collapsed="false">
      <c r="A9" s="4" t="s">
        <v>9</v>
      </c>
      <c r="B9" s="5" t="s">
        <v>23</v>
      </c>
      <c r="C9" s="4" t="s">
        <v>11</v>
      </c>
      <c r="D9" s="4" t="s">
        <v>12</v>
      </c>
      <c r="E9" s="4" t="s">
        <v>24</v>
      </c>
      <c r="F9" s="6" t="n">
        <v>46239</v>
      </c>
      <c r="G9" s="5"/>
    </row>
    <row r="10" customFormat="false" ht="25" hidden="false" customHeight="false" outlineLevel="0" collapsed="false">
      <c r="A10" s="7" t="s">
        <v>25</v>
      </c>
      <c r="B10" s="8" t="s">
        <v>26</v>
      </c>
      <c r="C10" s="7" t="s">
        <v>27</v>
      </c>
      <c r="D10" s="7" t="s">
        <v>28</v>
      </c>
      <c r="E10" s="7" t="s">
        <v>29</v>
      </c>
      <c r="F10" s="9" t="n">
        <v>46235</v>
      </c>
      <c r="G10" s="8" t="s">
        <v>30</v>
      </c>
    </row>
    <row r="11" customFormat="false" ht="15" hidden="false" customHeight="false" outlineLevel="0" collapsed="false">
      <c r="A11" s="4" t="s">
        <v>25</v>
      </c>
      <c r="B11" s="5" t="s">
        <v>31</v>
      </c>
      <c r="C11" s="4" t="s">
        <v>17</v>
      </c>
      <c r="D11" s="4" t="s">
        <v>12</v>
      </c>
      <c r="E11" s="4" t="s">
        <v>32</v>
      </c>
      <c r="F11" s="6" t="n">
        <v>46042</v>
      </c>
      <c r="G11" s="5"/>
    </row>
    <row r="12" customFormat="false" ht="15" hidden="false" customHeight="false" outlineLevel="0" collapsed="false">
      <c r="A12" s="7" t="s">
        <v>25</v>
      </c>
      <c r="B12" s="8" t="s">
        <v>33</v>
      </c>
      <c r="C12" s="7" t="s">
        <v>27</v>
      </c>
      <c r="D12" s="7" t="s">
        <v>12</v>
      </c>
      <c r="E12" s="7" t="s">
        <v>34</v>
      </c>
      <c r="F12" s="9" t="n">
        <v>46218</v>
      </c>
      <c r="G12" s="8"/>
    </row>
    <row r="13" customFormat="false" ht="25" hidden="false" customHeight="false" outlineLevel="0" collapsed="false">
      <c r="A13" s="4" t="s">
        <v>25</v>
      </c>
      <c r="B13" s="5" t="s">
        <v>35</v>
      </c>
      <c r="C13" s="4" t="s">
        <v>27</v>
      </c>
      <c r="D13" s="4" t="s">
        <v>18</v>
      </c>
      <c r="E13" s="4" t="s">
        <v>29</v>
      </c>
      <c r="F13" s="6" t="n">
        <v>46218</v>
      </c>
      <c r="G13" s="5" t="s">
        <v>36</v>
      </c>
    </row>
    <row r="14" customFormat="false" ht="15" hidden="false" customHeight="false" outlineLevel="0" collapsed="false">
      <c r="A14" s="7" t="s">
        <v>25</v>
      </c>
      <c r="B14" s="8" t="s">
        <v>37</v>
      </c>
      <c r="C14" s="7" t="s">
        <v>17</v>
      </c>
      <c r="D14" s="7" t="s">
        <v>12</v>
      </c>
      <c r="E14" s="7" t="s">
        <v>38</v>
      </c>
      <c r="F14" s="9" t="n">
        <v>46145</v>
      </c>
      <c r="G14" s="8"/>
    </row>
    <row r="15" customFormat="false" ht="15" hidden="false" customHeight="false" outlineLevel="0" collapsed="false">
      <c r="A15" s="4" t="s">
        <v>39</v>
      </c>
      <c r="B15" s="5" t="s">
        <v>40</v>
      </c>
      <c r="C15" s="4" t="s">
        <v>41</v>
      </c>
      <c r="D15" s="4" t="s">
        <v>12</v>
      </c>
      <c r="E15" s="4" t="s">
        <v>42</v>
      </c>
      <c r="F15" s="6" t="n">
        <v>46236</v>
      </c>
      <c r="G15" s="5"/>
    </row>
    <row r="16" customFormat="false" ht="15" hidden="false" customHeight="false" outlineLevel="0" collapsed="false">
      <c r="A16" s="7" t="s">
        <v>39</v>
      </c>
      <c r="B16" s="8" t="s">
        <v>43</v>
      </c>
      <c r="C16" s="7" t="s">
        <v>41</v>
      </c>
      <c r="D16" s="7" t="s">
        <v>12</v>
      </c>
      <c r="E16" s="7" t="s">
        <v>44</v>
      </c>
      <c r="F16" s="9" t="n">
        <v>46239</v>
      </c>
      <c r="G16" s="8"/>
    </row>
    <row r="17" customFormat="false" ht="15" hidden="false" customHeight="false" outlineLevel="0" collapsed="false">
      <c r="A17" s="4" t="s">
        <v>39</v>
      </c>
      <c r="B17" s="5" t="s">
        <v>45</v>
      </c>
      <c r="C17" s="4" t="s">
        <v>41</v>
      </c>
      <c r="D17" s="4" t="s">
        <v>12</v>
      </c>
      <c r="E17" s="4" t="s">
        <v>46</v>
      </c>
      <c r="F17" s="6" t="n">
        <v>46239</v>
      </c>
      <c r="G17" s="5"/>
    </row>
    <row r="18" customFormat="false" ht="15" hidden="false" customHeight="false" outlineLevel="0" collapsed="false">
      <c r="A18" s="7" t="s">
        <v>39</v>
      </c>
      <c r="B18" s="8" t="s">
        <v>47</v>
      </c>
      <c r="C18" s="7" t="s">
        <v>11</v>
      </c>
      <c r="D18" s="7" t="s">
        <v>18</v>
      </c>
      <c r="E18" s="7" t="s">
        <v>48</v>
      </c>
      <c r="F18" s="9" t="n">
        <v>46213</v>
      </c>
      <c r="G18" s="8" t="s">
        <v>49</v>
      </c>
    </row>
    <row r="19" customFormat="false" ht="25" hidden="false" customHeight="false" outlineLevel="0" collapsed="false">
      <c r="A19" s="4" t="s">
        <v>39</v>
      </c>
      <c r="B19" s="5" t="s">
        <v>50</v>
      </c>
      <c r="C19" s="4" t="s">
        <v>17</v>
      </c>
      <c r="D19" s="4" t="s">
        <v>28</v>
      </c>
      <c r="E19" s="4" t="s">
        <v>51</v>
      </c>
      <c r="F19" s="6" t="n">
        <v>46174</v>
      </c>
      <c r="G19" s="5" t="s">
        <v>52</v>
      </c>
    </row>
    <row r="20" customFormat="false" ht="15" hidden="false" customHeight="false" outlineLevel="0" collapsed="false">
      <c r="A20" s="7" t="s">
        <v>53</v>
      </c>
      <c r="B20" s="8" t="s">
        <v>54</v>
      </c>
      <c r="C20" s="7" t="s">
        <v>55</v>
      </c>
      <c r="D20" s="7" t="s">
        <v>12</v>
      </c>
      <c r="E20" s="7" t="s">
        <v>56</v>
      </c>
      <c r="F20" s="9" t="n">
        <v>46239</v>
      </c>
      <c r="G20" s="8"/>
    </row>
    <row r="21" customFormat="false" ht="25" hidden="false" customHeight="false" outlineLevel="0" collapsed="false">
      <c r="A21" s="4" t="s">
        <v>53</v>
      </c>
      <c r="B21" s="5" t="s">
        <v>57</v>
      </c>
      <c r="C21" s="4" t="s">
        <v>11</v>
      </c>
      <c r="D21" s="4" t="s">
        <v>28</v>
      </c>
      <c r="E21" s="4" t="s">
        <v>56</v>
      </c>
      <c r="F21" s="6" t="n">
        <v>46218</v>
      </c>
      <c r="G21" s="5" t="s">
        <v>58</v>
      </c>
    </row>
    <row r="22" customFormat="false" ht="15" hidden="false" customHeight="false" outlineLevel="0" collapsed="false">
      <c r="A22" s="7" t="s">
        <v>53</v>
      </c>
      <c r="B22" s="8" t="s">
        <v>59</v>
      </c>
      <c r="C22" s="7" t="s">
        <v>11</v>
      </c>
      <c r="D22" s="7" t="s">
        <v>12</v>
      </c>
      <c r="E22" s="7" t="s">
        <v>60</v>
      </c>
      <c r="F22" s="9" t="n">
        <v>46237</v>
      </c>
      <c r="G22" s="8"/>
    </row>
    <row r="23" customFormat="false" ht="15" hidden="false" customHeight="false" outlineLevel="0" collapsed="false">
      <c r="A23" s="4" t="s">
        <v>53</v>
      </c>
      <c r="B23" s="5" t="s">
        <v>61</v>
      </c>
      <c r="C23" s="4" t="s">
        <v>17</v>
      </c>
      <c r="D23" s="4" t="s">
        <v>12</v>
      </c>
      <c r="E23" s="4" t="s">
        <v>62</v>
      </c>
      <c r="F23" s="6" t="n">
        <v>46093</v>
      </c>
      <c r="G23" s="5"/>
    </row>
    <row r="24" customFormat="false" ht="15" hidden="false" customHeight="false" outlineLevel="0" collapsed="false">
      <c r="A24" s="7" t="s">
        <v>63</v>
      </c>
      <c r="B24" s="8" t="s">
        <v>64</v>
      </c>
      <c r="C24" s="7" t="s">
        <v>27</v>
      </c>
      <c r="D24" s="7" t="s">
        <v>12</v>
      </c>
      <c r="E24" s="7" t="s">
        <v>65</v>
      </c>
      <c r="F24" s="9" t="n">
        <v>46203</v>
      </c>
      <c r="G24" s="8"/>
    </row>
    <row r="25" customFormat="false" ht="25" hidden="false" customHeight="false" outlineLevel="0" collapsed="false">
      <c r="A25" s="4" t="s">
        <v>63</v>
      </c>
      <c r="B25" s="5" t="s">
        <v>66</v>
      </c>
      <c r="C25" s="4" t="s">
        <v>27</v>
      </c>
      <c r="D25" s="4" t="s">
        <v>18</v>
      </c>
      <c r="E25" s="4" t="s">
        <v>65</v>
      </c>
      <c r="F25" s="6" t="n">
        <v>46203</v>
      </c>
      <c r="G25" s="5" t="s">
        <v>67</v>
      </c>
    </row>
    <row r="26" customFormat="false" ht="25" hidden="false" customHeight="false" outlineLevel="0" collapsed="false">
      <c r="A26" s="7" t="s">
        <v>63</v>
      </c>
      <c r="B26" s="8" t="s">
        <v>68</v>
      </c>
      <c r="C26" s="7" t="s">
        <v>17</v>
      </c>
      <c r="D26" s="7" t="s">
        <v>12</v>
      </c>
      <c r="E26" s="7" t="s">
        <v>32</v>
      </c>
      <c r="F26" s="9" t="n">
        <v>46042</v>
      </c>
      <c r="G26" s="8"/>
    </row>
    <row r="27" customFormat="false" ht="15" hidden="false" customHeight="false" outlineLevel="0" collapsed="false">
      <c r="A27" s="4" t="s">
        <v>69</v>
      </c>
      <c r="B27" s="5" t="s">
        <v>70</v>
      </c>
      <c r="C27" s="4" t="s">
        <v>17</v>
      </c>
      <c r="D27" s="4" t="s">
        <v>12</v>
      </c>
      <c r="E27" s="4" t="s">
        <v>71</v>
      </c>
      <c r="F27" s="6" t="n">
        <v>46058</v>
      </c>
      <c r="G27" s="5"/>
    </row>
    <row r="28" customFormat="false" ht="15" hidden="false" customHeight="false" outlineLevel="0" collapsed="false">
      <c r="A28" s="7" t="s">
        <v>69</v>
      </c>
      <c r="B28" s="8" t="s">
        <v>72</v>
      </c>
      <c r="C28" s="7" t="s">
        <v>17</v>
      </c>
      <c r="D28" s="7" t="s">
        <v>12</v>
      </c>
      <c r="E28" s="7" t="s">
        <v>73</v>
      </c>
      <c r="F28" s="9" t="n">
        <v>46130</v>
      </c>
      <c r="G28" s="8"/>
    </row>
    <row r="29" customFormat="false" ht="15" hidden="false" customHeight="false" outlineLevel="0" collapsed="false">
      <c r="A29" s="4" t="s">
        <v>69</v>
      </c>
      <c r="B29" s="5" t="s">
        <v>74</v>
      </c>
      <c r="C29" s="4" t="s">
        <v>11</v>
      </c>
      <c r="D29" s="4" t="s">
        <v>12</v>
      </c>
      <c r="E29" s="4" t="s">
        <v>75</v>
      </c>
      <c r="F29" s="6" t="n">
        <v>46235</v>
      </c>
      <c r="G29" s="5"/>
    </row>
    <row r="30" customFormat="false" ht="15" hidden="false" customHeight="false" outlineLevel="0" collapsed="false">
      <c r="A30" s="7" t="s">
        <v>69</v>
      </c>
      <c r="B30" s="8" t="s">
        <v>76</v>
      </c>
      <c r="C30" s="7" t="s">
        <v>17</v>
      </c>
      <c r="D30" s="7" t="s">
        <v>12</v>
      </c>
      <c r="E30" s="7" t="s">
        <v>77</v>
      </c>
      <c r="F30" s="9" t="n">
        <v>46223</v>
      </c>
      <c r="G30" s="8"/>
    </row>
    <row r="31" customFormat="false" ht="15" hidden="false" customHeight="false" outlineLevel="0" collapsed="false">
      <c r="A31" s="4" t="s">
        <v>78</v>
      </c>
      <c r="B31" s="5" t="s">
        <v>79</v>
      </c>
      <c r="C31" s="4" t="s">
        <v>80</v>
      </c>
      <c r="D31" s="4" t="s">
        <v>12</v>
      </c>
      <c r="E31" s="4" t="s">
        <v>81</v>
      </c>
      <c r="F31" s="6" t="n">
        <v>46032</v>
      </c>
      <c r="G31" s="5"/>
    </row>
    <row r="32" customFormat="false" ht="25" hidden="false" customHeight="false" outlineLevel="0" collapsed="false">
      <c r="A32" s="7" t="s">
        <v>78</v>
      </c>
      <c r="B32" s="8" t="s">
        <v>82</v>
      </c>
      <c r="C32" s="7" t="s">
        <v>80</v>
      </c>
      <c r="D32" s="7" t="s">
        <v>18</v>
      </c>
      <c r="E32" s="7" t="s">
        <v>83</v>
      </c>
      <c r="F32" s="9" t="n">
        <v>46147</v>
      </c>
      <c r="G32" s="8" t="s">
        <v>84</v>
      </c>
    </row>
    <row r="33" customFormat="false" ht="15" hidden="false" customHeight="false" outlineLevel="0" collapsed="false">
      <c r="A33" s="4" t="s">
        <v>78</v>
      </c>
      <c r="B33" s="5" t="s">
        <v>85</v>
      </c>
      <c r="C33" s="4" t="s">
        <v>17</v>
      </c>
      <c r="D33" s="4" t="s">
        <v>12</v>
      </c>
      <c r="E33" s="4" t="s">
        <v>32</v>
      </c>
      <c r="F33" s="6" t="n">
        <v>46042</v>
      </c>
      <c r="G33" s="5"/>
    </row>
    <row r="34" customFormat="false" ht="15" hidden="false" customHeight="false" outlineLevel="0" collapsed="false">
      <c r="A34" s="7" t="s">
        <v>78</v>
      </c>
      <c r="B34" s="8" t="s">
        <v>86</v>
      </c>
      <c r="C34" s="7" t="s">
        <v>41</v>
      </c>
      <c r="D34" s="7" t="s">
        <v>87</v>
      </c>
      <c r="E34" s="7" t="s">
        <v>88</v>
      </c>
      <c r="F34" s="9" t="n">
        <v>46042</v>
      </c>
      <c r="G34" s="8" t="s">
        <v>89</v>
      </c>
    </row>
    <row r="35" customFormat="false" ht="25" hidden="false" customHeight="false" outlineLevel="0" collapsed="false">
      <c r="A35" s="4" t="s">
        <v>90</v>
      </c>
      <c r="B35" s="5" t="s">
        <v>91</v>
      </c>
      <c r="C35" s="4" t="s">
        <v>17</v>
      </c>
      <c r="D35" s="4" t="s">
        <v>12</v>
      </c>
      <c r="E35" s="4" t="s">
        <v>92</v>
      </c>
      <c r="F35" s="6" t="n">
        <v>45981</v>
      </c>
      <c r="G35" s="5"/>
    </row>
    <row r="36" customFormat="false" ht="15" hidden="false" customHeight="false" outlineLevel="0" collapsed="false">
      <c r="A36" s="7" t="s">
        <v>90</v>
      </c>
      <c r="B36" s="8" t="s">
        <v>93</v>
      </c>
      <c r="C36" s="7" t="s">
        <v>17</v>
      </c>
      <c r="D36" s="7" t="s">
        <v>12</v>
      </c>
      <c r="E36" s="7" t="s">
        <v>92</v>
      </c>
      <c r="F36" s="9" t="n">
        <v>46111</v>
      </c>
      <c r="G36" s="8"/>
    </row>
    <row r="37" customFormat="false" ht="15" hidden="false" customHeight="false" outlineLevel="0" collapsed="false">
      <c r="A37" s="4" t="s">
        <v>90</v>
      </c>
      <c r="B37" s="5" t="s">
        <v>94</v>
      </c>
      <c r="C37" s="4" t="s">
        <v>17</v>
      </c>
      <c r="D37" s="4" t="s">
        <v>12</v>
      </c>
      <c r="E37" s="4" t="s">
        <v>92</v>
      </c>
      <c r="F37" s="6" t="n">
        <v>45996</v>
      </c>
      <c r="G37" s="5"/>
    </row>
    <row r="39" customFormat="false" ht="15" hidden="false" customHeight="false" outlineLevel="0" collapsed="false">
      <c r="A39" s="10" t="s">
        <v>95</v>
      </c>
      <c r="B39" s="10"/>
      <c r="C39" s="10"/>
      <c r="D39" s="10"/>
      <c r="E39" s="10"/>
      <c r="F39" s="10"/>
      <c r="G39" s="10"/>
    </row>
  </sheetData>
  <mergeCells count="3">
    <mergeCell ref="A1:G1"/>
    <mergeCell ref="A2:G2"/>
    <mergeCell ref="A39:G39"/>
  </mergeCells>
  <conditionalFormatting sqref="D5:D57">
    <cfRule type="cellIs" priority="2" operator="equal" aboveAverage="0" equalAverage="0" bottom="0" percent="0" rank="0" text="" dxfId="0">
      <formula>"Disponible"</formula>
    </cfRule>
    <cfRule type="cellIs" priority="3" operator="equal" aboveAverage="0" equalAverage="0" bottom="0" percent="0" rank="0" text="" dxfId="1">
      <formula>"A rassembler"</formula>
    </cfRule>
    <cfRule type="cellIs" priority="4" operator="equal" aboveAverage="0" equalAverage="0" bottom="0" percent="0" rank="0" text="" dxfId="2">
      <formula>"Manquant"</formula>
    </cfRule>
    <cfRule type="cellIs" priority="5" operator="equal" aboveAverage="0" equalAverage="0" bottom="0" percent="0" rank="0" text="" dxfId="3">
      <formula>"Non applicable"</formula>
    </cfRule>
  </conditionalFormatting>
  <dataValidations count="1">
    <dataValidation allowBlank="false" error="Choisissez un statut dans la liste." errorStyle="stop" errorTitle="Statut invalide" operator="between" showDropDown="false" showErrorMessage="false" showInputMessage="false" sqref="D5:D57" type="list">
      <formula1>"Disponible,A rassembler,Manquant,Non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96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97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</row>
    <row r="5" customFormat="false" ht="15" hidden="false" customHeight="false" outlineLevel="0" collapsed="false">
      <c r="A5" s="4" t="s">
        <v>9</v>
      </c>
      <c r="B5" s="4" t="n">
        <f aca="false">COUNTIFS(Checklist!$A$5:$A$37,A5,Checklist!$D$5:$D$37,"&lt;&gt;Non applicable")</f>
        <v>5</v>
      </c>
      <c r="C5" s="4" t="n">
        <f aca="false">COUNTIFS(Checklist!$A$5:$A$37,A5,Checklist!$D$5:$D$37,"Disponible")</f>
        <v>4</v>
      </c>
      <c r="D5" s="11" t="n">
        <f aca="false">IF(B5=0,"",C5/B5)</f>
        <v>0.8</v>
      </c>
      <c r="E5" s="4" t="n">
        <f aca="false">COUNTIFS(Checklist!$A$5:$A$37,A5,Checklist!$D$5:$D$37,"Manquant")</f>
        <v>0</v>
      </c>
      <c r="F5" s="12" t="str">
        <f aca="false">IF(B5=0,"-",IF(D5=1,"Dossier complet",IF(E5&gt;0,"A COMPLETER","En cours")))</f>
        <v>En cours</v>
      </c>
    </row>
    <row r="6" customFormat="false" ht="15" hidden="false" customHeight="false" outlineLevel="0" collapsed="false">
      <c r="A6" s="7" t="s">
        <v>25</v>
      </c>
      <c r="B6" s="7" t="n">
        <f aca="false">COUNTIFS(Checklist!$A$5:$A$37,A6,Checklist!$D$5:$D$37,"&lt;&gt;Non applicable")</f>
        <v>5</v>
      </c>
      <c r="C6" s="7" t="n">
        <f aca="false">COUNTIFS(Checklist!$A$5:$A$37,A6,Checklist!$D$5:$D$37,"Disponible")</f>
        <v>3</v>
      </c>
      <c r="D6" s="13" t="n">
        <f aca="false">IF(B6=0,"",C6/B6)</f>
        <v>0.6</v>
      </c>
      <c r="E6" s="7" t="n">
        <f aca="false">COUNTIFS(Checklist!$A$5:$A$37,A6,Checklist!$D$5:$D$37,"Manquant")</f>
        <v>1</v>
      </c>
      <c r="F6" s="14" t="str">
        <f aca="false">IF(B6=0,"-",IF(D6=1,"Dossier complet",IF(E6&gt;0,"A COMPLETER","En cours")))</f>
        <v>A COMPLETER</v>
      </c>
    </row>
    <row r="7" customFormat="false" ht="15" hidden="false" customHeight="false" outlineLevel="0" collapsed="false">
      <c r="A7" s="4" t="s">
        <v>39</v>
      </c>
      <c r="B7" s="4" t="n">
        <f aca="false">COUNTIFS(Checklist!$A$5:$A$37,A7,Checklist!$D$5:$D$37,"&lt;&gt;Non applicable")</f>
        <v>5</v>
      </c>
      <c r="C7" s="4" t="n">
        <f aca="false">COUNTIFS(Checklist!$A$5:$A$37,A7,Checklist!$D$5:$D$37,"Disponible")</f>
        <v>3</v>
      </c>
      <c r="D7" s="11" t="n">
        <f aca="false">IF(B7=0,"",C7/B7)</f>
        <v>0.6</v>
      </c>
      <c r="E7" s="4" t="n">
        <f aca="false">COUNTIFS(Checklist!$A$5:$A$37,A7,Checklist!$D$5:$D$37,"Manquant")</f>
        <v>1</v>
      </c>
      <c r="F7" s="12" t="str">
        <f aca="false">IF(B7=0,"-",IF(D7=1,"Dossier complet",IF(E7&gt;0,"A COMPLETER","En cours")))</f>
        <v>A COMPLETER</v>
      </c>
    </row>
    <row r="8" customFormat="false" ht="15" hidden="false" customHeight="false" outlineLevel="0" collapsed="false">
      <c r="A8" s="7" t="s">
        <v>53</v>
      </c>
      <c r="B8" s="7" t="n">
        <f aca="false">COUNTIFS(Checklist!$A$5:$A$37,A8,Checklist!$D$5:$D$37,"&lt;&gt;Non applicable")</f>
        <v>4</v>
      </c>
      <c r="C8" s="7" t="n">
        <f aca="false">COUNTIFS(Checklist!$A$5:$A$37,A8,Checklist!$D$5:$D$37,"Disponible")</f>
        <v>3</v>
      </c>
      <c r="D8" s="13" t="n">
        <f aca="false">IF(B8=0,"",C8/B8)</f>
        <v>0.75</v>
      </c>
      <c r="E8" s="7" t="n">
        <f aca="false">COUNTIFS(Checklist!$A$5:$A$37,A8,Checklist!$D$5:$D$37,"Manquant")</f>
        <v>1</v>
      </c>
      <c r="F8" s="14" t="str">
        <f aca="false">IF(B8=0,"-",IF(D8=1,"Dossier complet",IF(E8&gt;0,"A COMPLETER","En cours")))</f>
        <v>A COMPLETER</v>
      </c>
    </row>
    <row r="9" customFormat="false" ht="15" hidden="false" customHeight="false" outlineLevel="0" collapsed="false">
      <c r="A9" s="4" t="s">
        <v>63</v>
      </c>
      <c r="B9" s="4" t="n">
        <f aca="false">COUNTIFS(Checklist!$A$5:$A$37,A9,Checklist!$D$5:$D$37,"&lt;&gt;Non applicable")</f>
        <v>3</v>
      </c>
      <c r="C9" s="4" t="n">
        <f aca="false">COUNTIFS(Checklist!$A$5:$A$37,A9,Checklist!$D$5:$D$37,"Disponible")</f>
        <v>2</v>
      </c>
      <c r="D9" s="11" t="n">
        <f aca="false">IF(B9=0,"",C9/B9)</f>
        <v>0.666666666666667</v>
      </c>
      <c r="E9" s="4" t="n">
        <f aca="false">COUNTIFS(Checklist!$A$5:$A$37,A9,Checklist!$D$5:$D$37,"Manquant")</f>
        <v>0</v>
      </c>
      <c r="F9" s="12" t="str">
        <f aca="false">IF(B9=0,"-",IF(D9=1,"Dossier complet",IF(E9&gt;0,"A COMPLETER","En cours")))</f>
        <v>En cours</v>
      </c>
    </row>
    <row r="10" customFormat="false" ht="15" hidden="false" customHeight="false" outlineLevel="0" collapsed="false">
      <c r="A10" s="7" t="s">
        <v>69</v>
      </c>
      <c r="B10" s="7" t="n">
        <f aca="false">COUNTIFS(Checklist!$A$5:$A$37,A10,Checklist!$D$5:$D$37,"&lt;&gt;Non applicable")</f>
        <v>4</v>
      </c>
      <c r="C10" s="7" t="n">
        <f aca="false">COUNTIFS(Checklist!$A$5:$A$37,A10,Checklist!$D$5:$D$37,"Disponible")</f>
        <v>4</v>
      </c>
      <c r="D10" s="13" t="n">
        <f aca="false">IF(B10=0,"",C10/B10)</f>
        <v>1</v>
      </c>
      <c r="E10" s="7" t="n">
        <f aca="false">COUNTIFS(Checklist!$A$5:$A$37,A10,Checklist!$D$5:$D$37,"Manquant")</f>
        <v>0</v>
      </c>
      <c r="F10" s="14" t="str">
        <f aca="false">IF(B10=0,"-",IF(D10=1,"Dossier complet",IF(E10&gt;0,"A COMPLETER","En cours")))</f>
        <v>Dossier complet</v>
      </c>
    </row>
    <row r="11" customFormat="false" ht="15" hidden="false" customHeight="false" outlineLevel="0" collapsed="false">
      <c r="A11" s="4" t="s">
        <v>78</v>
      </c>
      <c r="B11" s="4" t="n">
        <f aca="false">COUNTIFS(Checklist!$A$5:$A$37,A11,Checklist!$D$5:$D$37,"&lt;&gt;Non applicable")</f>
        <v>3</v>
      </c>
      <c r="C11" s="4" t="n">
        <f aca="false">COUNTIFS(Checklist!$A$5:$A$37,A11,Checklist!$D$5:$D$37,"Disponible")</f>
        <v>2</v>
      </c>
      <c r="D11" s="11" t="n">
        <f aca="false">IF(B11=0,"",C11/B11)</f>
        <v>0.666666666666667</v>
      </c>
      <c r="E11" s="4" t="n">
        <f aca="false">COUNTIFS(Checklist!$A$5:$A$37,A11,Checklist!$D$5:$D$37,"Manquant")</f>
        <v>0</v>
      </c>
      <c r="F11" s="12" t="str">
        <f aca="false">IF(B11=0,"-",IF(D11=1,"Dossier complet",IF(E11&gt;0,"A COMPLETER","En cours")))</f>
        <v>En cours</v>
      </c>
    </row>
    <row r="12" customFormat="false" ht="15" hidden="false" customHeight="false" outlineLevel="0" collapsed="false">
      <c r="A12" s="7" t="s">
        <v>90</v>
      </c>
      <c r="B12" s="7" t="n">
        <f aca="false">COUNTIFS(Checklist!$A$5:$A$37,A12,Checklist!$D$5:$D$37,"&lt;&gt;Non applicable")</f>
        <v>3</v>
      </c>
      <c r="C12" s="7" t="n">
        <f aca="false">COUNTIFS(Checklist!$A$5:$A$37,A12,Checklist!$D$5:$D$37,"Disponible")</f>
        <v>3</v>
      </c>
      <c r="D12" s="13" t="n">
        <f aca="false">IF(B12=0,"",C12/B12)</f>
        <v>1</v>
      </c>
      <c r="E12" s="7" t="n">
        <f aca="false">COUNTIFS(Checklist!$A$5:$A$37,A12,Checklist!$D$5:$D$37,"Manquant")</f>
        <v>0</v>
      </c>
      <c r="F12" s="14" t="str">
        <f aca="false">IF(B12=0,"-",IF(D12=1,"Dossier complet",IF(E12&gt;0,"A COMPLETER","En cours")))</f>
        <v>Dossier complet</v>
      </c>
    </row>
    <row r="13" customFormat="false" ht="15" hidden="false" customHeight="false" outlineLevel="0" collapsed="false">
      <c r="A13" s="15" t="s">
        <v>103</v>
      </c>
      <c r="B13" s="15" t="n">
        <f aca="false">SUM(B5:B12)</f>
        <v>32</v>
      </c>
      <c r="C13" s="15" t="n">
        <f aca="false">SUM(C5:C12)</f>
        <v>24</v>
      </c>
      <c r="D13" s="16" t="n">
        <f aca="false">IF(B13=0,"",C13/B13)</f>
        <v>0.75</v>
      </c>
      <c r="E13" s="15" t="n">
        <f aca="false">SUM(E5:E12)</f>
        <v>3</v>
      </c>
      <c r="F13" s="15" t="str">
        <f aca="false">IF(D13=1,"Dossier complet",IF(E13&gt;0,"A COMPLETER","En cours"))</f>
        <v>A COMPLETER</v>
      </c>
    </row>
    <row r="15" customFormat="false" ht="15" hidden="false" customHeight="false" outlineLevel="0" collapsed="false">
      <c r="A15" s="10" t="s">
        <v>104</v>
      </c>
      <c r="B15" s="10"/>
      <c r="C15" s="10"/>
      <c r="D15" s="10"/>
      <c r="E15" s="10"/>
      <c r="F15" s="10"/>
    </row>
  </sheetData>
  <mergeCells count="3">
    <mergeCell ref="A1:F1"/>
    <mergeCell ref="A2:F2"/>
    <mergeCell ref="A15:F15"/>
  </mergeCells>
  <conditionalFormatting sqref="F5:F13">
    <cfRule type="cellIs" priority="2" operator="equal" aboveAverage="0" equalAverage="0" bottom="0" percent="0" rank="0" text="" dxfId="0">
      <formula>"Dossier complet"</formula>
    </cfRule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2">
      <formula>"A COMPLETER"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2026-08-31T21:11:28Z</dcterms:created>
  <dc:creator>openpyxl</dc:creator>
  <dc:description/>
  <dc:language>fr-FR</dc:language>
  <cp:lastModifiedBy/>
  <dcterms:modified xsi:type="dcterms:W3CDTF">2026-08-31T21:11:28Z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