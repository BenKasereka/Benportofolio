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ort brut" sheetId="1" state="visible" r:id="rId3"/>
    <sheet name="Tableau de 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<sst xmlns="http://schemas.openxmlformats.org/spreadsheetml/2006/main" count="200" uniqueCount="30">
  <si>
    <t xml:space="preserve">EXPORT FINANCIER BRUT (TYPE LINK)</t>
  </si>
  <si>
    <t xml:space="preserve">Module 07 · Systèmes de Gestion Financière — SAGA, LINK &amp; Excel Avancé · BK-BOOST Ltd.</t>
  </si>
  <si>
    <t xml:space="preserve">Projet</t>
  </si>
  <si>
    <t xml:space="preserve">Bailleur</t>
  </si>
  <si>
    <t xml:space="preserve">Rubrique</t>
  </si>
  <si>
    <t xml:space="preserve">Montant (USD)</t>
  </si>
  <si>
    <t xml:space="preserve">Date</t>
  </si>
  <si>
    <t xml:space="preserve">Mois (calculé)</t>
  </si>
  <si>
    <t xml:space="preserve">PROJ-TCD-02</t>
  </si>
  <si>
    <t xml:space="preserve">ECHO</t>
  </si>
  <si>
    <t xml:space="preserve">Loyer</t>
  </si>
  <si>
    <t xml:space="preserve">2026-01-15</t>
  </si>
  <si>
    <t xml:space="preserve">PROJ-HTI-03</t>
  </si>
  <si>
    <t xml:space="preserve">Fournitures</t>
  </si>
  <si>
    <t xml:space="preserve">2026-03-15</t>
  </si>
  <si>
    <t xml:space="preserve">PROJ-RDC-01</t>
  </si>
  <si>
    <t xml:space="preserve">Transport</t>
  </si>
  <si>
    <t xml:space="preserve">Formation</t>
  </si>
  <si>
    <t xml:space="preserve">USAID/BHA</t>
  </si>
  <si>
    <t xml:space="preserve">Fonds privés</t>
  </si>
  <si>
    <t xml:space="preserve">Salaires</t>
  </si>
  <si>
    <t xml:space="preserve">2026-02-15</t>
  </si>
  <si>
    <t xml:space="preserve">TABLEAU DE BORD FINANCIER PAR BAILLEUR ET PAR MOIS</t>
  </si>
  <si>
    <t xml:space="preserve">Calculé automatiquement depuis l'onglet 'Export brut' (SUMIFS sur la colonne Mois) — ne pas modifier les formules.</t>
  </si>
  <si>
    <t xml:space="preserve">2026-01</t>
  </si>
  <si>
    <t xml:space="preserve">2026-02</t>
  </si>
  <si>
    <t xml:space="preserve">2026-03</t>
  </si>
  <si>
    <t xml:space="preserve">Total</t>
  </si>
  <si>
    <t xml:space="preserve">TOTAL</t>
  </si>
  <si>
    <t xml:space="preserve">Note méthodologique : tableau construit avec SUMIFS multi-critères (bailleur x mois) plutôt qu'un TCD natif openpyxl, dont la fiabilité de génération programmatique est limitée — le résultat pratique pour l'apprenant est identique à un TCD Excel réel construit sur les mêmes données.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</si>
</sst>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n">
        <v>3975.42</v>
      </c>
      <c r="E5" s="4" t="s">
        <v>11</v>
      </c>
      <c r="F5" s="4" t="str">
        <f aca="false">LEFT(E5,7)</f>
        <v>2026-01</v>
      </c>
    </row>
    <row r="6" customFormat="false" ht="15" hidden="false" customHeight="false" outlineLevel="0" collapsed="false">
      <c r="A6" s="5" t="s">
        <v>12</v>
      </c>
      <c r="B6" s="5" t="s">
        <v>9</v>
      </c>
      <c r="C6" s="5" t="s">
        <v>13</v>
      </c>
      <c r="D6" s="5" t="n">
        <v>3580.17</v>
      </c>
      <c r="E6" s="5" t="s">
        <v>14</v>
      </c>
      <c r="F6" s="5" t="str">
        <f aca="false">LEFT(E6,7)</f>
        <v>2026-03</v>
      </c>
    </row>
    <row r="7" customFormat="false" ht="15" hidden="false" customHeight="false" outlineLevel="0" collapsed="false">
      <c r="A7" s="4" t="s">
        <v>15</v>
      </c>
      <c r="B7" s="4" t="s">
        <v>9</v>
      </c>
      <c r="C7" s="4" t="s">
        <v>16</v>
      </c>
      <c r="D7" s="4" t="n">
        <v>2715.14</v>
      </c>
      <c r="E7" s="4" t="s">
        <v>11</v>
      </c>
      <c r="F7" s="4" t="str">
        <f aca="false">LEFT(E7,7)</f>
        <v>2026-01</v>
      </c>
    </row>
    <row r="8" customFormat="false" ht="15" hidden="false" customHeight="false" outlineLevel="0" collapsed="false">
      <c r="A8" s="5" t="s">
        <v>15</v>
      </c>
      <c r="B8" s="5" t="s">
        <v>9</v>
      </c>
      <c r="C8" s="5" t="s">
        <v>17</v>
      </c>
      <c r="D8" s="5" t="n">
        <v>2662.21</v>
      </c>
      <c r="E8" s="5" t="s">
        <v>14</v>
      </c>
      <c r="F8" s="5" t="str">
        <f aca="false">LEFT(E8,7)</f>
        <v>2026-03</v>
      </c>
    </row>
    <row r="9" customFormat="false" ht="15" hidden="false" customHeight="false" outlineLevel="0" collapsed="false">
      <c r="A9" s="4" t="s">
        <v>15</v>
      </c>
      <c r="B9" s="4" t="s">
        <v>9</v>
      </c>
      <c r="C9" s="4" t="s">
        <v>17</v>
      </c>
      <c r="D9" s="4" t="n">
        <v>5696.71</v>
      </c>
      <c r="E9" s="4" t="s">
        <v>14</v>
      </c>
      <c r="F9" s="4" t="str">
        <f aca="false">LEFT(E9,7)</f>
        <v>2026-03</v>
      </c>
    </row>
    <row r="10" customFormat="false" ht="15" hidden="false" customHeight="false" outlineLevel="0" collapsed="false">
      <c r="A10" s="5" t="s">
        <v>12</v>
      </c>
      <c r="B10" s="5" t="s">
        <v>18</v>
      </c>
      <c r="C10" s="5" t="s">
        <v>16</v>
      </c>
      <c r="D10" s="5" t="n">
        <v>5862.28</v>
      </c>
      <c r="E10" s="5" t="s">
        <v>11</v>
      </c>
      <c r="F10" s="5" t="str">
        <f aca="false">LEFT(E10,7)</f>
        <v>2026-01</v>
      </c>
    </row>
    <row r="11" customFormat="false" ht="15" hidden="false" customHeight="false" outlineLevel="0" collapsed="false">
      <c r="A11" s="4" t="s">
        <v>12</v>
      </c>
      <c r="B11" s="4" t="s">
        <v>9</v>
      </c>
      <c r="C11" s="4" t="s">
        <v>13</v>
      </c>
      <c r="D11" s="4" t="n">
        <v>2631.01</v>
      </c>
      <c r="E11" s="4" t="s">
        <v>14</v>
      </c>
      <c r="F11" s="4" t="str">
        <f aca="false">LEFT(E11,7)</f>
        <v>2026-03</v>
      </c>
    </row>
    <row r="12" customFormat="false" ht="15" hidden="false" customHeight="false" outlineLevel="0" collapsed="false">
      <c r="A12" s="5" t="s">
        <v>15</v>
      </c>
      <c r="B12" s="5" t="s">
        <v>19</v>
      </c>
      <c r="C12" s="5" t="s">
        <v>13</v>
      </c>
      <c r="D12" s="5" t="n">
        <v>3449.49</v>
      </c>
      <c r="E12" s="5" t="s">
        <v>14</v>
      </c>
      <c r="F12" s="5" t="str">
        <f aca="false">LEFT(E12,7)</f>
        <v>2026-03</v>
      </c>
    </row>
    <row r="13" customFormat="false" ht="15" hidden="false" customHeight="false" outlineLevel="0" collapsed="false">
      <c r="A13" s="4" t="s">
        <v>15</v>
      </c>
      <c r="B13" s="4" t="s">
        <v>9</v>
      </c>
      <c r="C13" s="4" t="s">
        <v>17</v>
      </c>
      <c r="D13" s="4" t="n">
        <v>3512.99</v>
      </c>
      <c r="E13" s="4" t="s">
        <v>11</v>
      </c>
      <c r="F13" s="4" t="str">
        <f aca="false">LEFT(E13,7)</f>
        <v>2026-01</v>
      </c>
    </row>
    <row r="14" customFormat="false" ht="15" hidden="false" customHeight="false" outlineLevel="0" collapsed="false">
      <c r="A14" s="5" t="s">
        <v>8</v>
      </c>
      <c r="B14" s="5" t="s">
        <v>9</v>
      </c>
      <c r="C14" s="5" t="s">
        <v>17</v>
      </c>
      <c r="D14" s="5" t="n">
        <v>4330.24</v>
      </c>
      <c r="E14" s="5" t="s">
        <v>14</v>
      </c>
      <c r="F14" s="5" t="str">
        <f aca="false">LEFT(E14,7)</f>
        <v>2026-03</v>
      </c>
    </row>
    <row r="15" customFormat="false" ht="15" hidden="false" customHeight="false" outlineLevel="0" collapsed="false">
      <c r="A15" s="4" t="s">
        <v>15</v>
      </c>
      <c r="B15" s="4" t="s">
        <v>19</v>
      </c>
      <c r="C15" s="4" t="s">
        <v>20</v>
      </c>
      <c r="D15" s="4" t="n">
        <v>3079.2</v>
      </c>
      <c r="E15" s="4" t="s">
        <v>14</v>
      </c>
      <c r="F15" s="4" t="str">
        <f aca="false">LEFT(E15,7)</f>
        <v>2026-03</v>
      </c>
    </row>
    <row r="16" customFormat="false" ht="15" hidden="false" customHeight="false" outlineLevel="0" collapsed="false">
      <c r="A16" s="5" t="s">
        <v>8</v>
      </c>
      <c r="B16" s="5" t="s">
        <v>18</v>
      </c>
      <c r="C16" s="5" t="s">
        <v>10</v>
      </c>
      <c r="D16" s="5" t="n">
        <v>3596.26</v>
      </c>
      <c r="E16" s="5" t="s">
        <v>21</v>
      </c>
      <c r="F16" s="5" t="str">
        <f aca="false">LEFT(E16,7)</f>
        <v>2026-02</v>
      </c>
    </row>
    <row r="17" customFormat="false" ht="15" hidden="false" customHeight="false" outlineLevel="0" collapsed="false">
      <c r="A17" s="4" t="s">
        <v>8</v>
      </c>
      <c r="B17" s="4" t="s">
        <v>18</v>
      </c>
      <c r="C17" s="4" t="s">
        <v>20</v>
      </c>
      <c r="D17" s="4" t="n">
        <v>4807.4</v>
      </c>
      <c r="E17" s="4" t="s">
        <v>14</v>
      </c>
      <c r="F17" s="4" t="str">
        <f aca="false">LEFT(E17,7)</f>
        <v>2026-03</v>
      </c>
    </row>
    <row r="18" customFormat="false" ht="15" hidden="false" customHeight="false" outlineLevel="0" collapsed="false">
      <c r="A18" s="5" t="s">
        <v>15</v>
      </c>
      <c r="B18" s="5" t="s">
        <v>9</v>
      </c>
      <c r="C18" s="5" t="s">
        <v>17</v>
      </c>
      <c r="D18" s="5" t="n">
        <v>1941.44</v>
      </c>
      <c r="E18" s="5" t="s">
        <v>21</v>
      </c>
      <c r="F18" s="5" t="str">
        <f aca="false">LEFT(E18,7)</f>
        <v>2026-02</v>
      </c>
    </row>
    <row r="19" customFormat="false" ht="15" hidden="false" customHeight="false" outlineLevel="0" collapsed="false">
      <c r="A19" s="4" t="s">
        <v>8</v>
      </c>
      <c r="B19" s="4" t="s">
        <v>19</v>
      </c>
      <c r="C19" s="4" t="s">
        <v>10</v>
      </c>
      <c r="D19" s="4" t="n">
        <v>1870.04</v>
      </c>
      <c r="E19" s="4" t="s">
        <v>11</v>
      </c>
      <c r="F19" s="4" t="str">
        <f aca="false">LEFT(E19,7)</f>
        <v>2026-01</v>
      </c>
    </row>
    <row r="20" customFormat="false" ht="15" hidden="false" customHeight="false" outlineLevel="0" collapsed="false">
      <c r="A20" s="5" t="s">
        <v>15</v>
      </c>
      <c r="B20" s="5" t="s">
        <v>19</v>
      </c>
      <c r="C20" s="5" t="s">
        <v>10</v>
      </c>
      <c r="D20" s="5" t="n">
        <v>1156.78</v>
      </c>
      <c r="E20" s="5" t="s">
        <v>21</v>
      </c>
      <c r="F20" s="5" t="str">
        <f aca="false">LEFT(E20,7)</f>
        <v>2026-02</v>
      </c>
    </row>
    <row r="21" customFormat="false" ht="15" hidden="false" customHeight="false" outlineLevel="0" collapsed="false">
      <c r="A21" s="4" t="s">
        <v>15</v>
      </c>
      <c r="B21" s="4" t="s">
        <v>18</v>
      </c>
      <c r="C21" s="4" t="s">
        <v>10</v>
      </c>
      <c r="D21" s="4" t="n">
        <v>427.4</v>
      </c>
      <c r="E21" s="4" t="s">
        <v>14</v>
      </c>
      <c r="F21" s="4" t="str">
        <f aca="false">LEFT(E21,7)</f>
        <v>2026-03</v>
      </c>
    </row>
    <row r="22" customFormat="false" ht="15" hidden="false" customHeight="false" outlineLevel="0" collapsed="false">
      <c r="A22" s="5" t="s">
        <v>15</v>
      </c>
      <c r="B22" s="5" t="s">
        <v>19</v>
      </c>
      <c r="C22" s="5" t="s">
        <v>17</v>
      </c>
      <c r="D22" s="5" t="n">
        <v>4776.75</v>
      </c>
      <c r="E22" s="5" t="s">
        <v>21</v>
      </c>
      <c r="F22" s="5" t="str">
        <f aca="false">LEFT(E22,7)</f>
        <v>2026-02</v>
      </c>
    </row>
    <row r="23" customFormat="false" ht="15" hidden="false" customHeight="false" outlineLevel="0" collapsed="false">
      <c r="A23" s="4" t="s">
        <v>8</v>
      </c>
      <c r="B23" s="4" t="s">
        <v>19</v>
      </c>
      <c r="C23" s="4" t="s">
        <v>13</v>
      </c>
      <c r="D23" s="4" t="n">
        <v>3647.35</v>
      </c>
      <c r="E23" s="4" t="s">
        <v>14</v>
      </c>
      <c r="F23" s="4" t="str">
        <f aca="false">LEFT(E23,7)</f>
        <v>2026-03</v>
      </c>
    </row>
    <row r="24" customFormat="false" ht="15" hidden="false" customHeight="false" outlineLevel="0" collapsed="false">
      <c r="A24" s="5" t="s">
        <v>8</v>
      </c>
      <c r="B24" s="5" t="s">
        <v>9</v>
      </c>
      <c r="C24" s="5" t="s">
        <v>16</v>
      </c>
      <c r="D24" s="5" t="n">
        <v>5679.15</v>
      </c>
      <c r="E24" s="5" t="s">
        <v>21</v>
      </c>
      <c r="F24" s="5" t="str">
        <f aca="false">LEFT(E24,7)</f>
        <v>2026-02</v>
      </c>
    </row>
    <row r="25" customFormat="false" ht="15" hidden="false" customHeight="false" outlineLevel="0" collapsed="false">
      <c r="A25" s="4" t="s">
        <v>12</v>
      </c>
      <c r="B25" s="4" t="s">
        <v>19</v>
      </c>
      <c r="C25" s="4" t="s">
        <v>16</v>
      </c>
      <c r="D25" s="4" t="n">
        <v>551.88</v>
      </c>
      <c r="E25" s="4" t="s">
        <v>14</v>
      </c>
      <c r="F25" s="4" t="str">
        <f aca="false">LEFT(E25,7)</f>
        <v>2026-03</v>
      </c>
    </row>
    <row r="26" customFormat="false" ht="15" hidden="false" customHeight="false" outlineLevel="0" collapsed="false">
      <c r="A26" s="5" t="s">
        <v>8</v>
      </c>
      <c r="B26" s="5" t="s">
        <v>19</v>
      </c>
      <c r="C26" s="5" t="s">
        <v>17</v>
      </c>
      <c r="D26" s="5" t="n">
        <v>5959.96</v>
      </c>
      <c r="E26" s="5" t="s">
        <v>21</v>
      </c>
      <c r="F26" s="5" t="str">
        <f aca="false">LEFT(E26,7)</f>
        <v>2026-02</v>
      </c>
    </row>
    <row r="27" customFormat="false" ht="15" hidden="false" customHeight="false" outlineLevel="0" collapsed="false">
      <c r="A27" s="4" t="s">
        <v>8</v>
      </c>
      <c r="B27" s="4" t="s">
        <v>19</v>
      </c>
      <c r="C27" s="4" t="s">
        <v>10</v>
      </c>
      <c r="D27" s="4" t="n">
        <v>5344.83</v>
      </c>
      <c r="E27" s="4" t="s">
        <v>21</v>
      </c>
      <c r="F27" s="4" t="str">
        <f aca="false">LEFT(E27,7)</f>
        <v>2026-02</v>
      </c>
    </row>
    <row r="28" customFormat="false" ht="15" hidden="false" customHeight="false" outlineLevel="0" collapsed="false">
      <c r="A28" s="5" t="s">
        <v>15</v>
      </c>
      <c r="B28" s="5" t="s">
        <v>18</v>
      </c>
      <c r="C28" s="5" t="s">
        <v>13</v>
      </c>
      <c r="D28" s="5" t="n">
        <v>1174.68</v>
      </c>
      <c r="E28" s="5" t="s">
        <v>11</v>
      </c>
      <c r="F28" s="5" t="str">
        <f aca="false">LEFT(E28,7)</f>
        <v>2026-01</v>
      </c>
    </row>
    <row r="29" customFormat="false" ht="15" hidden="false" customHeight="false" outlineLevel="0" collapsed="false">
      <c r="A29" s="4" t="s">
        <v>8</v>
      </c>
      <c r="B29" s="4" t="s">
        <v>9</v>
      </c>
      <c r="C29" s="4" t="s">
        <v>20</v>
      </c>
      <c r="D29" s="4" t="n">
        <v>4655.75</v>
      </c>
      <c r="E29" s="4" t="s">
        <v>11</v>
      </c>
      <c r="F29" s="4" t="str">
        <f aca="false">LEFT(E29,7)</f>
        <v>2026-01</v>
      </c>
    </row>
    <row r="30" customFormat="false" ht="15" hidden="false" customHeight="false" outlineLevel="0" collapsed="false">
      <c r="A30" s="5" t="s">
        <v>12</v>
      </c>
      <c r="B30" s="5" t="s">
        <v>9</v>
      </c>
      <c r="C30" s="5" t="s">
        <v>10</v>
      </c>
      <c r="D30" s="5" t="n">
        <v>2467.51</v>
      </c>
      <c r="E30" s="5" t="s">
        <v>21</v>
      </c>
      <c r="F30" s="5" t="str">
        <f aca="false">LEFT(E30,7)</f>
        <v>2026-02</v>
      </c>
    </row>
    <row r="31" customFormat="false" ht="15" hidden="false" customHeight="false" outlineLevel="0" collapsed="false">
      <c r="A31" s="4" t="s">
        <v>15</v>
      </c>
      <c r="B31" s="4" t="s">
        <v>9</v>
      </c>
      <c r="C31" s="4" t="s">
        <v>10</v>
      </c>
      <c r="D31" s="4" t="n">
        <v>2529.54</v>
      </c>
      <c r="E31" s="4" t="s">
        <v>21</v>
      </c>
      <c r="F31" s="4" t="str">
        <f aca="false">LEFT(E31,7)</f>
        <v>2026-02</v>
      </c>
    </row>
    <row r="32" customFormat="false" ht="15" hidden="false" customHeight="false" outlineLevel="0" collapsed="false">
      <c r="A32" s="5" t="s">
        <v>15</v>
      </c>
      <c r="B32" s="5" t="s">
        <v>18</v>
      </c>
      <c r="C32" s="5" t="s">
        <v>17</v>
      </c>
      <c r="D32" s="5" t="n">
        <v>1814.84</v>
      </c>
      <c r="E32" s="5" t="s">
        <v>21</v>
      </c>
      <c r="F32" s="5" t="str">
        <f aca="false">LEFT(E32,7)</f>
        <v>2026-02</v>
      </c>
    </row>
    <row r="33" customFormat="false" ht="15" hidden="false" customHeight="false" outlineLevel="0" collapsed="false">
      <c r="A33" s="4" t="s">
        <v>8</v>
      </c>
      <c r="B33" s="4" t="s">
        <v>19</v>
      </c>
      <c r="C33" s="4" t="s">
        <v>10</v>
      </c>
      <c r="D33" s="4" t="n">
        <v>5754.84</v>
      </c>
      <c r="E33" s="4" t="s">
        <v>11</v>
      </c>
      <c r="F33" s="4" t="str">
        <f aca="false">LEFT(E33,7)</f>
        <v>2026-01</v>
      </c>
    </row>
    <row r="34" customFormat="false" ht="15" hidden="false" customHeight="false" outlineLevel="0" collapsed="false">
      <c r="A34" s="5" t="s">
        <v>15</v>
      </c>
      <c r="B34" s="5" t="s">
        <v>9</v>
      </c>
      <c r="C34" s="5" t="s">
        <v>20</v>
      </c>
      <c r="D34" s="5" t="n">
        <v>1545.35</v>
      </c>
      <c r="E34" s="5" t="s">
        <v>11</v>
      </c>
      <c r="F34" s="5" t="str">
        <f aca="false">LEFT(E34,7)</f>
        <v>2026-01</v>
      </c>
    </row>
    <row r="35" customFormat="false" ht="15" hidden="false" customHeight="false" outlineLevel="0" collapsed="false">
      <c r="A35" s="4" t="s">
        <v>15</v>
      </c>
      <c r="B35" s="4" t="s">
        <v>18</v>
      </c>
      <c r="C35" s="4" t="s">
        <v>17</v>
      </c>
      <c r="D35" s="4" t="n">
        <v>1257.59</v>
      </c>
      <c r="E35" s="4" t="s">
        <v>21</v>
      </c>
      <c r="F35" s="4" t="str">
        <f aca="false">LEFT(E35,7)</f>
        <v>2026-02</v>
      </c>
    </row>
    <row r="36" customFormat="false" ht="15" hidden="false" customHeight="false" outlineLevel="0" collapsed="false">
      <c r="A36" s="5" t="s">
        <v>15</v>
      </c>
      <c r="B36" s="5" t="s">
        <v>9</v>
      </c>
      <c r="C36" s="5" t="s">
        <v>10</v>
      </c>
      <c r="D36" s="5" t="n">
        <v>3300.63</v>
      </c>
      <c r="E36" s="5" t="s">
        <v>14</v>
      </c>
      <c r="F36" s="5" t="str">
        <f aca="false">LEFT(E36,7)</f>
        <v>2026-03</v>
      </c>
    </row>
    <row r="37" customFormat="false" ht="15" hidden="false" customHeight="false" outlineLevel="0" collapsed="false">
      <c r="A37" s="4" t="s">
        <v>12</v>
      </c>
      <c r="B37" s="4" t="s">
        <v>18</v>
      </c>
      <c r="C37" s="4" t="s">
        <v>20</v>
      </c>
      <c r="D37" s="4" t="n">
        <v>4204.86</v>
      </c>
      <c r="E37" s="4" t="s">
        <v>14</v>
      </c>
      <c r="F37" s="4" t="str">
        <f aca="false">LEFT(E37,7)</f>
        <v>2026-03</v>
      </c>
    </row>
    <row r="38" customFormat="false" ht="15" hidden="false" customHeight="false" outlineLevel="0" collapsed="false">
      <c r="A38" s="5" t="s">
        <v>12</v>
      </c>
      <c r="B38" s="5" t="s">
        <v>19</v>
      </c>
      <c r="C38" s="5" t="s">
        <v>16</v>
      </c>
      <c r="D38" s="5" t="n">
        <v>2848.53</v>
      </c>
      <c r="E38" s="5" t="s">
        <v>14</v>
      </c>
      <c r="F38" s="5" t="str">
        <f aca="false">LEFT(E38,7)</f>
        <v>2026-03</v>
      </c>
    </row>
    <row r="39" customFormat="false" ht="15" hidden="false" customHeight="false" outlineLevel="0" collapsed="false">
      <c r="A39" s="4" t="s">
        <v>12</v>
      </c>
      <c r="B39" s="4" t="s">
        <v>18</v>
      </c>
      <c r="C39" s="4" t="s">
        <v>10</v>
      </c>
      <c r="D39" s="4" t="n">
        <v>2514.08</v>
      </c>
      <c r="E39" s="4" t="s">
        <v>11</v>
      </c>
      <c r="F39" s="4" t="str">
        <f aca="false">LEFT(E39,7)</f>
        <v>2026-01</v>
      </c>
    </row>
    <row r="40" customFormat="false" ht="15" hidden="false" customHeight="false" outlineLevel="0" collapsed="false">
      <c r="A40" s="5" t="s">
        <v>8</v>
      </c>
      <c r="B40" s="5" t="s">
        <v>19</v>
      </c>
      <c r="C40" s="5" t="s">
        <v>10</v>
      </c>
      <c r="D40" s="5" t="n">
        <v>561.04</v>
      </c>
      <c r="E40" s="5" t="s">
        <v>11</v>
      </c>
      <c r="F40" s="5" t="str">
        <f aca="false">LEFT(E40,7)</f>
        <v>2026-01</v>
      </c>
    </row>
    <row r="41" customFormat="false" ht="15" hidden="false" customHeight="false" outlineLevel="0" collapsed="false">
      <c r="A41" s="4" t="s">
        <v>15</v>
      </c>
      <c r="B41" s="4" t="s">
        <v>18</v>
      </c>
      <c r="C41" s="4" t="s">
        <v>20</v>
      </c>
      <c r="D41" s="4" t="n">
        <v>837.58</v>
      </c>
      <c r="E41" s="4" t="s">
        <v>14</v>
      </c>
      <c r="F41" s="4" t="str">
        <f aca="false">LEFT(E41,7)</f>
        <v>2026-03</v>
      </c>
    </row>
    <row r="42" customFormat="false" ht="15" hidden="false" customHeight="false" outlineLevel="0" collapsed="false">
      <c r="A42" s="5" t="s">
        <v>15</v>
      </c>
      <c r="B42" s="5" t="s">
        <v>9</v>
      </c>
      <c r="C42" s="5" t="s">
        <v>16</v>
      </c>
      <c r="D42" s="5" t="n">
        <v>3487.34</v>
      </c>
      <c r="E42" s="5" t="s">
        <v>14</v>
      </c>
      <c r="F42" s="5" t="str">
        <f aca="false">LEFT(E42,7)</f>
        <v>2026-03</v>
      </c>
    </row>
    <row r="43" customFormat="false" ht="15" hidden="false" customHeight="false" outlineLevel="0" collapsed="false">
      <c r="A43" s="4" t="s">
        <v>15</v>
      </c>
      <c r="B43" s="4" t="s">
        <v>18</v>
      </c>
      <c r="C43" s="4" t="s">
        <v>17</v>
      </c>
      <c r="D43" s="4" t="n">
        <v>347.91</v>
      </c>
      <c r="E43" s="4" t="s">
        <v>11</v>
      </c>
      <c r="F43" s="4" t="str">
        <f aca="false">LEFT(E43,7)</f>
        <v>2026-01</v>
      </c>
    </row>
    <row r="44" customFormat="false" ht="15" hidden="false" customHeight="false" outlineLevel="0" collapsed="false">
      <c r="A44" s="5" t="s">
        <v>12</v>
      </c>
      <c r="B44" s="5" t="s">
        <v>18</v>
      </c>
      <c r="C44" s="5" t="s">
        <v>20</v>
      </c>
      <c r="D44" s="5" t="n">
        <v>3879.58</v>
      </c>
      <c r="E44" s="5" t="s">
        <v>21</v>
      </c>
      <c r="F44" s="5" t="str">
        <f aca="false">LEFT(E44,7)</f>
        <v>2026-02</v>
      </c>
    </row>
    <row r="45" customFormat="false" ht="15" hidden="false" customHeight="false" outlineLevel="0" collapsed="false">
      <c r="A45" s="4" t="s">
        <v>12</v>
      </c>
      <c r="B45" s="4" t="s">
        <v>18</v>
      </c>
      <c r="C45" s="4" t="s">
        <v>10</v>
      </c>
      <c r="D45" s="4" t="n">
        <v>912.48</v>
      </c>
      <c r="E45" s="4" t="s">
        <v>21</v>
      </c>
      <c r="F45" s="4" t="str">
        <f aca="false">LEFT(E45,7)</f>
        <v>2026-02</v>
      </c>
    </row>
    <row r="46" customFormat="false" ht="15" hidden="false" customHeight="false" outlineLevel="0" collapsed="false">
      <c r="A46" s="5" t="s">
        <v>8</v>
      </c>
      <c r="B46" s="5" t="s">
        <v>18</v>
      </c>
      <c r="C46" s="5" t="s">
        <v>10</v>
      </c>
      <c r="D46" s="5" t="n">
        <v>2008.74</v>
      </c>
      <c r="E46" s="5" t="s">
        <v>11</v>
      </c>
      <c r="F46" s="5" t="str">
        <f aca="false">LEFT(E46,7)</f>
        <v>2026-01</v>
      </c>
    </row>
    <row r="47" customFormat="false" ht="15" hidden="false" customHeight="false" outlineLevel="0" collapsed="false">
      <c r="A47" s="4" t="s">
        <v>15</v>
      </c>
      <c r="B47" s="4" t="s">
        <v>19</v>
      </c>
      <c r="C47" s="4" t="s">
        <v>13</v>
      </c>
      <c r="D47" s="4" t="n">
        <v>4494.04</v>
      </c>
      <c r="E47" s="4" t="s">
        <v>21</v>
      </c>
      <c r="F47" s="4" t="str">
        <f aca="false">LEFT(E47,7)</f>
        <v>2026-02</v>
      </c>
    </row>
    <row r="48" customFormat="false" ht="15" hidden="false" customHeight="false" outlineLevel="0" collapsed="false">
      <c r="A48" s="5" t="s">
        <v>12</v>
      </c>
      <c r="B48" s="5" t="s">
        <v>9</v>
      </c>
      <c r="C48" s="5" t="s">
        <v>17</v>
      </c>
      <c r="D48" s="5" t="n">
        <v>333.96</v>
      </c>
      <c r="E48" s="5" t="s">
        <v>14</v>
      </c>
      <c r="F48" s="5" t="str">
        <f aca="false">LEFT(E48,7)</f>
        <v>2026-03</v>
      </c>
    </row>
    <row r="49" customFormat="false" ht="15" hidden="false" customHeight="false" outlineLevel="0" collapsed="false">
      <c r="A49" s="4" t="s">
        <v>8</v>
      </c>
      <c r="B49" s="4" t="s">
        <v>9</v>
      </c>
      <c r="C49" s="4" t="s">
        <v>17</v>
      </c>
      <c r="D49" s="4" t="n">
        <v>5502.05</v>
      </c>
      <c r="E49" s="4" t="s">
        <v>14</v>
      </c>
      <c r="F49" s="4" t="str">
        <f aca="false">LEFT(E49,7)</f>
        <v>2026-03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3</v>
      </c>
      <c r="B4" s="3" t="s">
        <v>24</v>
      </c>
      <c r="C4" s="3" t="s">
        <v>25</v>
      </c>
      <c r="D4" s="3" t="s">
        <v>26</v>
      </c>
      <c r="E4" s="3" t="s">
        <v>27</v>
      </c>
    </row>
    <row r="5" customFormat="false" ht="15" hidden="false" customHeight="false" outlineLevel="0" collapsed="false">
      <c r="A5" s="4" t="s">
        <v>9</v>
      </c>
      <c r="B5" s="6" t="n">
        <f aca="false">SUMIFS('Export brut'!$D$5:$D$49,'Export brut'!$B$5:$B$49,$A5,'Export brut'!$F$5:$F$49,B$4)</f>
        <v>16404.65</v>
      </c>
      <c r="C5" s="6" t="n">
        <f aca="false">SUMIFS('Export brut'!$D$5:$D$49,'Export brut'!$B$5:$B$49,$A5,'Export brut'!$F$5:$F$49,C$4)</f>
        <v>12617.64</v>
      </c>
      <c r="D5" s="6" t="n">
        <f aca="false">SUMIFS('Export brut'!$D$5:$D$49,'Export brut'!$B$5:$B$49,$A5,'Export brut'!$F$5:$F$49,D$4)</f>
        <v>31524.32</v>
      </c>
      <c r="E5" s="6" t="n">
        <f aca="false">SUM(B5:D5)</f>
        <v>60546.61</v>
      </c>
    </row>
    <row r="6" customFormat="false" ht="15" hidden="false" customHeight="false" outlineLevel="0" collapsed="false">
      <c r="A6" s="5" t="s">
        <v>18</v>
      </c>
      <c r="B6" s="7" t="n">
        <f aca="false">SUMIFS('Export brut'!$D$5:$D$49,'Export brut'!$B$5:$B$49,$A6,'Export brut'!$F$5:$F$49,B$4)</f>
        <v>11907.69</v>
      </c>
      <c r="C6" s="7" t="n">
        <f aca="false">SUMIFS('Export brut'!$D$5:$D$49,'Export brut'!$B$5:$B$49,$A6,'Export brut'!$F$5:$F$49,C$4)</f>
        <v>11460.75</v>
      </c>
      <c r="D6" s="7" t="n">
        <f aca="false">SUMIFS('Export brut'!$D$5:$D$49,'Export brut'!$B$5:$B$49,$A6,'Export brut'!$F$5:$F$49,D$4)</f>
        <v>10277.24</v>
      </c>
      <c r="E6" s="7" t="n">
        <f aca="false">SUM(B6:D6)</f>
        <v>33645.68</v>
      </c>
    </row>
    <row r="7" customFormat="false" ht="15" hidden="false" customHeight="false" outlineLevel="0" collapsed="false">
      <c r="A7" s="4" t="s">
        <v>19</v>
      </c>
      <c r="B7" s="6" t="n">
        <f aca="false">SUMIFS('Export brut'!$D$5:$D$49,'Export brut'!$B$5:$B$49,$A7,'Export brut'!$F$5:$F$49,B$4)</f>
        <v>8185.92</v>
      </c>
      <c r="C7" s="6" t="n">
        <f aca="false">SUMIFS('Export brut'!$D$5:$D$49,'Export brut'!$B$5:$B$49,$A7,'Export brut'!$F$5:$F$49,C$4)</f>
        <v>21732.36</v>
      </c>
      <c r="D7" s="6" t="n">
        <f aca="false">SUMIFS('Export brut'!$D$5:$D$49,'Export brut'!$B$5:$B$49,$A7,'Export brut'!$F$5:$F$49,D$4)</f>
        <v>13576.45</v>
      </c>
      <c r="E7" s="6" t="n">
        <f aca="false">SUM(B7:D7)</f>
        <v>43494.73</v>
      </c>
    </row>
    <row r="8" customFormat="false" ht="15" hidden="false" customHeight="false" outlineLevel="0" collapsed="false">
      <c r="A8" s="8" t="s">
        <v>28</v>
      </c>
      <c r="B8" s="9" t="n">
        <f aca="false">SUM(B5:B7)</f>
        <v>36498.26</v>
      </c>
      <c r="C8" s="9" t="n">
        <f aca="false">SUM(C5:C7)</f>
        <v>45810.75</v>
      </c>
      <c r="D8" s="9" t="n">
        <f aca="false">SUM(D5:D7)</f>
        <v>55378.01</v>
      </c>
      <c r="E8" s="9" t="n">
        <f aca="false">SUM(E5:E7)</f>
        <v>137687.02</v>
      </c>
    </row>
    <row r="10" customFormat="false" ht="15" hidden="false" customHeight="false" outlineLevel="0" collapsed="false">
      <c r="A10" s="2" t="s">
        <v>29</v>
      </c>
      <c r="B10" s="2"/>
      <c r="C10" s="2"/>
      <c r="D10" s="2"/>
      <c r="E10" s="2"/>
    </row>
  </sheetData>
  <mergeCells count="3">
    <mergeCell ref="A1:E1"/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2026-09-09T21:44:59Z</dcterms:created>
  <dc:creator>openpyxl</dc:creator>
  <dc:description/>
  <dc:language>fr-FR</dc:language>
  <cp:lastModifiedBy/>
  <dcterms:modified xsi:type="dcterms:W3CDTF">2026-09-09T21:44:59Z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