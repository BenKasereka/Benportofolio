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d flags" sheetId="1" state="visible" r:id="rId3"/>
    <sheet name="Indicateur glob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<sst xmlns="http://schemas.openxmlformats.org/spreadsheetml/2006/main" count="29" uniqueCount="25">
  <si>
    <t xml:space="preserve">CHECKLIST DES RED FLAGS DE FRAUDE FINANCIÈRE</t>
  </si>
  <si>
    <t xml:space="preserve">Module 08 · Fraude, Corruption &amp; Conformité Financière · BK-BOOST Ltd.</t>
  </si>
  <si>
    <t xml:space="preserve">Catégorie</t>
  </si>
  <si>
    <t xml:space="preserve">Red flag observé</t>
  </si>
  <si>
    <t xml:space="preserve">Niveau de risque (1-3)</t>
  </si>
  <si>
    <t xml:space="preserve">Constaté ce mois ?</t>
  </si>
  <si>
    <t xml:space="preserve">Action de suivi</t>
  </si>
  <si>
    <t xml:space="preserve">Achats</t>
  </si>
  <si>
    <t xml:space="preserve">Même fournisseur systématiquement choisi sans mise en concurrence</t>
  </si>
  <si>
    <t xml:space="preserve">Oui</t>
  </si>
  <si>
    <t xml:space="preserve">Investiguer + relancer mise en concurrence</t>
  </si>
  <si>
    <t xml:space="preserve">Caisse/Avances</t>
  </si>
  <si>
    <t xml:space="preserve">Justificatifs répétitivement manquants ou en retard</t>
  </si>
  <si>
    <t xml:space="preserve">Entretien avec le titulaire de l'avance</t>
  </si>
  <si>
    <t xml:space="preserve">Paie</t>
  </si>
  <si>
    <t xml:space="preserve">Employé fantôme suspecté (absent des visites terrain)</t>
  </si>
  <si>
    <t xml:space="preserve">Non</t>
  </si>
  <si>
    <t xml:space="preserve">Relations fournisseurs</t>
  </si>
  <si>
    <t xml:space="preserve">Prix systématiquement supérieurs au marché sans justification</t>
  </si>
  <si>
    <t xml:space="preserve">Fractionnement d'achats pour éviter un seuil d'autorisation</t>
  </si>
  <si>
    <t xml:space="preserve">INDICATEUR DE RISQUE GLOBAL DU DOSSIER</t>
  </si>
  <si>
    <t xml:space="preserve">Calculé automatiquement à partir des red flags constatés ce mois.</t>
  </si>
  <si>
    <t xml:space="preserve">Nombre de red flags de niveau 3 constatés</t>
  </si>
  <si>
    <t xml:space="preserve">Nombre total de red flags constatés</t>
  </si>
  <si>
    <t xml:space="preserve">Niveau d'alerte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</si>
</sst>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E3A8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91B1B"/>
        <sz val="10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1B1B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5" min="5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4" hidden="false" customHeight="false" outlineLevel="0" collapsed="false">
      <c r="A5" s="4" t="s">
        <v>7</v>
      </c>
      <c r="B5" s="4" t="s">
        <v>8</v>
      </c>
      <c r="C5" s="4" t="n">
        <v>3</v>
      </c>
      <c r="D5" s="4" t="s">
        <v>9</v>
      </c>
      <c r="E5" s="4" t="s">
        <v>10</v>
      </c>
    </row>
    <row r="6" customFormat="false" ht="24" hidden="false" customHeight="false" outlineLevel="0" collapsed="false">
      <c r="A6" s="5" t="s">
        <v>11</v>
      </c>
      <c r="B6" s="5" t="s">
        <v>12</v>
      </c>
      <c r="C6" s="5" t="n">
        <v>3</v>
      </c>
      <c r="D6" s="5" t="s">
        <v>9</v>
      </c>
      <c r="E6" s="5" t="s">
        <v>13</v>
      </c>
    </row>
    <row r="7" customFormat="false" ht="24" hidden="false" customHeight="false" outlineLevel="0" collapsed="false">
      <c r="A7" s="4" t="s">
        <v>14</v>
      </c>
      <c r="B7" s="4" t="s">
        <v>15</v>
      </c>
      <c r="C7" s="4" t="n">
        <v>3</v>
      </c>
      <c r="D7" s="4" t="s">
        <v>16</v>
      </c>
      <c r="E7" s="4"/>
    </row>
    <row r="8" customFormat="false" ht="24" hidden="false" customHeight="false" outlineLevel="0" collapsed="false">
      <c r="A8" s="5" t="s">
        <v>17</v>
      </c>
      <c r="B8" s="5" t="s">
        <v>18</v>
      </c>
      <c r="C8" s="5" t="n">
        <v>2</v>
      </c>
      <c r="D8" s="5" t="s">
        <v>16</v>
      </c>
      <c r="E8" s="5"/>
    </row>
    <row r="9" customFormat="false" ht="24" hidden="false" customHeight="false" outlineLevel="0" collapsed="false">
      <c r="A9" s="4" t="s">
        <v>7</v>
      </c>
      <c r="B9" s="4" t="s">
        <v>19</v>
      </c>
      <c r="C9" s="4" t="n">
        <v>3</v>
      </c>
      <c r="D9" s="4" t="s">
        <v>16</v>
      </c>
      <c r="E9" s="4"/>
    </row>
    <row r="10" customFormat="false" ht="15" hidden="false" customHeight="false" outlineLevel="0" collapsed="false">
      <c r="A10" s="6"/>
      <c r="B10" s="6"/>
      <c r="C10" s="6"/>
      <c r="D10" s="6"/>
      <c r="E10" s="6"/>
    </row>
    <row r="11" customFormat="false" ht="15" hidden="false" customHeight="false" outlineLevel="0" collapsed="false">
      <c r="A11" s="6"/>
      <c r="B11" s="6"/>
      <c r="C11" s="6"/>
      <c r="D11" s="6"/>
      <c r="E11" s="6"/>
    </row>
    <row r="12" customFormat="false" ht="15" hidden="false" customHeight="false" outlineLevel="0" collapsed="false">
      <c r="A12" s="6"/>
      <c r="B12" s="6"/>
      <c r="C12" s="6"/>
      <c r="D12" s="6"/>
      <c r="E12" s="6"/>
    </row>
    <row r="13" customFormat="false" ht="15" hidden="false" customHeight="false" outlineLevel="0" collapsed="false">
      <c r="A13" s="6"/>
      <c r="B13" s="6"/>
      <c r="C13" s="6"/>
      <c r="D13" s="6"/>
      <c r="E13" s="6"/>
    </row>
    <row r="14" customFormat="false" ht="15" hidden="false" customHeight="false" outlineLevel="0" collapsed="false">
      <c r="A14" s="6"/>
      <c r="B14" s="6"/>
      <c r="C14" s="6"/>
      <c r="D14" s="6"/>
      <c r="E14" s="6"/>
    </row>
  </sheetData>
  <mergeCells count="2">
    <mergeCell ref="A1:E1"/>
    <mergeCell ref="A2:E2"/>
  </mergeCells>
  <conditionalFormatting sqref="C5:C14">
    <cfRule type="cellIs" priority="2" operator="equal" aboveAverage="0" equalAverage="0" bottom="0" percent="0" rank="0" text="" dxfId="0">
      <formula>3</formula>
    </cfRule>
  </conditionalFormatting>
  <dataValidations count="2">
    <dataValidation allowBlank="true" errorStyle="stop" operator="between" showDropDown="false" showErrorMessage="false" showInputMessage="false" sqref="C5:C14" type="list">
      <formula1>"1,2,3"</formula1>
      <formula2>0</formula2>
    </dataValidation>
    <dataValidation allowBlank="true" errorStyle="stop" operator="between" showDropDown="false" showErrorMessage="false" showInputMessage="false" sqref="D5:D14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27.75" hidden="false" customHeight="true" outlineLevel="0" collapsed="false">
      <c r="A1" s="1" t="s">
        <v>20</v>
      </c>
      <c r="B1" s="1"/>
    </row>
    <row r="2" customFormat="false" ht="15" hidden="false" customHeight="false" outlineLevel="0" collapsed="false">
      <c r="A2" s="2" t="s">
        <v>21</v>
      </c>
      <c r="B2" s="2"/>
    </row>
    <row r="4" customFormat="false" ht="15" hidden="false" customHeight="false" outlineLevel="0" collapsed="false">
      <c r="A4" s="7" t="s">
        <v>22</v>
      </c>
      <c r="B4" s="8" t="n">
        <f aca="false">COUNTIFS('Red flags'!C5:C14,3,'Red flags'!D5:D14,"Oui")</f>
        <v>2</v>
      </c>
    </row>
    <row r="5" customFormat="false" ht="15" hidden="false" customHeight="false" outlineLevel="0" collapsed="false">
      <c r="A5" s="7" t="s">
        <v>23</v>
      </c>
      <c r="B5" s="8" t="n">
        <f aca="false">COUNTIF('Red flags'!D5:D14,"Oui")</f>
        <v>2</v>
      </c>
    </row>
    <row r="6" customFormat="false" ht="15" hidden="false" customHeight="false" outlineLevel="0" collapsed="false">
      <c r="A6" s="7" t="s">
        <v>24</v>
      </c>
      <c r="B6" s="8" t="str">
        <f aca="false">IF(B4&gt;=2,"ALERTE ÉLEVÉE",IF(B5&gt;=1,"À SURVEILLER","NORMAL"))</f>
        <v>ALERTE ÉLEVÉE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2026-09-09T21:44:59Z</dcterms:created>
  <dc:creator>openpyxl</dc:creator>
  <dc:description/>
  <dc:language>fr-FR</dc:language>
  <cp:lastModifiedBy/>
  <dcterms:modified xsi:type="dcterms:W3CDTF">2026-09-09T21:44:59Z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