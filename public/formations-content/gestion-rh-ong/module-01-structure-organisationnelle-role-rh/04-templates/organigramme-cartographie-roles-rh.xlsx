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rtographie" sheetId="1" state="visible" r:id="rId3"/>
    <sheet name="Aler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<sst xmlns="http://schemas.openxmlformats.org/spreadsheetml/2006/main" count="55" uniqueCount="47">
  <si>
    <t xml:space="preserve">ORGANIGRAMME &amp; CARTOGRAPHIE DES ROLES RH</t>
  </si>
  <si>
    <t xml:space="preserve">Module 01 — Structure Organisationnelle des ONG &amp; Rôle des RH — BK-BOOST Ltd.</t>
  </si>
  <si>
    <t xml:space="preserve">Poste</t>
  </si>
  <si>
    <t xml:space="preserve">Titulaire actuel (nom)</t>
  </si>
  <si>
    <t xml:space="preserve">Rattachement hiérarchique (n+1)</t>
  </si>
  <si>
    <t xml:space="preserve">Type de rattachement</t>
  </si>
  <si>
    <t xml:space="preserve">Responsabilités RH clés</t>
  </si>
  <si>
    <t xml:space="preserve">Interface Finance / Logistique / Programmes</t>
  </si>
  <si>
    <t xml:space="preserve">Statut</t>
  </si>
  <si>
    <t xml:space="preserve">Date de départ (si applicable)</t>
  </si>
  <si>
    <t xml:space="preserve">Alerte (calcul automatique)</t>
  </si>
  <si>
    <t xml:space="preserve">HR Manager de mission</t>
  </si>
  <si>
    <t xml:space="preserve">A. Kavira</t>
  </si>
  <si>
    <t xml:space="preserve">Head of Mission</t>
  </si>
  <si>
    <t xml:space="preserve">Administratif et fonctionnel</t>
  </si>
  <si>
    <t xml:space="preserve">Supervision RH toutes bases, validation contrats, liaison siège</t>
  </si>
  <si>
    <t xml:space="preserve">Valide les imputations budgétaires RH avec la Finance de mission</t>
  </si>
  <si>
    <t xml:space="preserve">Actif</t>
  </si>
  <si>
    <t xml:space="preserve">HR Officer — base de Goma</t>
  </si>
  <si>
    <t xml:space="preserve">N. Mbusa</t>
  </si>
  <si>
    <t xml:space="preserve">Fonctionnel</t>
  </si>
  <si>
    <t xml:space="preserve">Contrats, paie, dossiers individuels, présence du personnel de la base</t>
  </si>
  <si>
    <t xml:space="preserve">Transmet mensuellement les mouvements de personnel au Payroll Officer</t>
  </si>
  <si>
    <t xml:space="preserve">Assistant Logistique — base de Goma</t>
  </si>
  <si>
    <t xml:space="preserve">D. Mumbere (démissionnaire)</t>
  </si>
  <si>
    <t xml:space="preserve">Base Manager</t>
  </si>
  <si>
    <t xml:space="preserve">Administratif</t>
  </si>
  <si>
    <t xml:space="preserve">Aucune (poste logistique)</t>
  </si>
  <si>
    <t xml:space="preserve">Aucune interface RH directe</t>
  </si>
  <si>
    <t xml:space="preserve">2026-05-12</t>
  </si>
  <si>
    <t xml:space="preserve">Superviseur Distribution — base de Goma</t>
  </si>
  <si>
    <t xml:space="preserve">J. Furaha</t>
  </si>
  <si>
    <t xml:space="preserve">Aucune (poste programme)</t>
  </si>
  <si>
    <t xml:space="preserve">Assistant RH — base de Goma</t>
  </si>
  <si>
    <t xml:space="preserve">P. Sifa</t>
  </si>
  <si>
    <t xml:space="preserve">À clarifier</t>
  </si>
  <si>
    <t xml:space="preserve">Appui administratif RH, classement des dossiers individuels</t>
  </si>
  <si>
    <t xml:space="preserve">Transmet les feuilles de présence au HR Officer avant clôture de paie</t>
  </si>
  <si>
    <t xml:space="preserve">SYNTHESE DES ALERTES</t>
  </si>
  <si>
    <t xml:space="preserve">Calculée automatiquement à partir de l'onglet Cartographie — ne pas modifier les formules.</t>
  </si>
  <si>
    <t xml:space="preserve">Indicateur</t>
  </si>
  <si>
    <t xml:space="preserve">Valeur</t>
  </si>
  <si>
    <t xml:space="preserve">Postes actifs sans rattachement hiérarchique clarifié</t>
  </si>
  <si>
    <t xml:space="preserve">Postes actifs avec une date de départ renseignée (poste fantôme potentiel)</t>
  </si>
  <si>
    <t xml:space="preserve">Postes marqués « À vérifier »</t>
  </si>
  <si>
    <t xml:space="preserve">Total des lignes en alerte (hors « OK » et lignes vides)</t>
  </si>
  <si>
    <t xml:space="preserve">Objectif : toute valeur supérieure à 0 doit être vérifiée et corrigée avant de présenter la cartographie au Head of Mission.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</si>
</sst>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9.75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/>
      <c r="I5" s="4" t="str">
        <f aca="false">IF(AND(G5="Actif",C5=""),"Rattachement manquant",IF(AND(G5="Actif",H5&lt;&gt;""),"Incohérence statut/date de départ",IF(G5="À vérifier","À vérifier","OK")))</f>
        <v>OK</v>
      </c>
    </row>
    <row r="6" customFormat="false" ht="39.75" hidden="false" customHeight="true" outlineLevel="0" collapsed="false">
      <c r="A6" s="5" t="s">
        <v>18</v>
      </c>
      <c r="B6" s="5" t="s">
        <v>19</v>
      </c>
      <c r="C6" s="5" t="s">
        <v>11</v>
      </c>
      <c r="D6" s="5" t="s">
        <v>20</v>
      </c>
      <c r="E6" s="5" t="s">
        <v>21</v>
      </c>
      <c r="F6" s="5" t="s">
        <v>22</v>
      </c>
      <c r="G6" s="5" t="s">
        <v>17</v>
      </c>
      <c r="H6" s="5"/>
      <c r="I6" s="5" t="str">
        <f aca="false">IF(AND(G6="Actif",C6=""),"Rattachement manquant",IF(AND(G6="Actif",H6&lt;&gt;""),"Incohérence statut/date de départ",IF(G6="À vérifier","À vérifier","OK")))</f>
        <v>OK</v>
      </c>
    </row>
    <row r="7" customFormat="false" ht="39.75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17</v>
      </c>
      <c r="H7" s="4" t="s">
        <v>29</v>
      </c>
      <c r="I7" s="4" t="str">
        <f aca="false">IF(AND(G7="Actif",C7=""),"Rattachement manquant",IF(AND(G7="Actif",H7&lt;&gt;""),"Incohérence statut/date de départ",IF(G7="À vérifier","À vérifier","OK")))</f>
        <v>Incohérence statut/date de départ</v>
      </c>
    </row>
    <row r="8" customFormat="false" ht="39.75" hidden="false" customHeight="true" outlineLevel="0" collapsed="false">
      <c r="A8" s="5" t="s">
        <v>30</v>
      </c>
      <c r="B8" s="5" t="s">
        <v>31</v>
      </c>
      <c r="C8" s="5" t="s">
        <v>25</v>
      </c>
      <c r="D8" s="5" t="s">
        <v>26</v>
      </c>
      <c r="E8" s="5" t="s">
        <v>32</v>
      </c>
      <c r="F8" s="5" t="s">
        <v>28</v>
      </c>
      <c r="G8" s="5" t="s">
        <v>17</v>
      </c>
      <c r="H8" s="5"/>
      <c r="I8" s="5" t="str">
        <f aca="false">IF(AND(G8="Actif",C8=""),"Rattachement manquant",IF(AND(G8="Actif",H8&lt;&gt;""),"Incohérence statut/date de départ",IF(G8="À vérifier","À vérifier","OK")))</f>
        <v>OK</v>
      </c>
    </row>
    <row r="9" customFormat="false" ht="39.75" hidden="false" customHeight="true" outlineLevel="0" collapsed="false">
      <c r="A9" s="4" t="s">
        <v>33</v>
      </c>
      <c r="B9" s="4" t="s">
        <v>34</v>
      </c>
      <c r="C9" s="4"/>
      <c r="D9" s="4" t="s">
        <v>35</v>
      </c>
      <c r="E9" s="4" t="s">
        <v>36</v>
      </c>
      <c r="F9" s="4" t="s">
        <v>37</v>
      </c>
      <c r="G9" s="4" t="s">
        <v>17</v>
      </c>
      <c r="H9" s="4"/>
      <c r="I9" s="4" t="str">
        <f aca="false">IF(AND(G9="Actif",C9=""),"Rattachement manquant",IF(AND(G9="Actif",H9&lt;&gt;""),"Incohérence statut/date de départ",IF(G9="À vérifier","À vérifier","OK")))</f>
        <v>Rattachement manquant</v>
      </c>
    </row>
    <row r="10" customFormat="false" ht="19.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 t="str">
        <f aca="false">IF(G10="","",IF(AND(G10="Actif",C10=""),"Rattachement manquant",IF(AND(G10="Actif",H10&lt;&gt;""),"Incohérence statut/date de départ",IF(G10="À vérifier","À vérifier","OK"))))</f>
        <v/>
      </c>
    </row>
    <row r="11" customFormat="false" ht="19.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 t="str">
        <f aca="false">IF(G11="","",IF(AND(G11="Actif",C11=""),"Rattachement manquant",IF(AND(G11="Actif",H11&lt;&gt;""),"Incohérence statut/date de départ",IF(G11="À vérifier","À vérifier","OK"))))</f>
        <v/>
      </c>
    </row>
    <row r="12" customFormat="false" ht="19.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 t="str">
        <f aca="false">IF(G12="","",IF(AND(G12="Actif",C12=""),"Rattachement manquant",IF(AND(G12="Actif",H12&lt;&gt;""),"Incohérence statut/date de départ",IF(G12="À vérifier","À vérifier","OK"))))</f>
        <v/>
      </c>
    </row>
    <row r="13" customFormat="false" ht="19.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 t="str">
        <f aca="false">IF(G13="","",IF(AND(G13="Actif",C13=""),"Rattachement manquant",IF(AND(G13="Actif",H13&lt;&gt;""),"Incohérence statut/date de départ",IF(G13="À vérifier","À vérifier","OK"))))</f>
        <v/>
      </c>
    </row>
    <row r="14" customFormat="false" ht="19.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 t="str">
        <f aca="false">IF(G14="","",IF(AND(G14="Actif",C14=""),"Rattachement manquant",IF(AND(G14="Actif",H14&lt;&gt;""),"Incohérence statut/date de départ",IF(G14="À vérifier","À vérifier","OK"))))</f>
        <v/>
      </c>
    </row>
    <row r="15" customFormat="false" ht="19.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 t="str">
        <f aca="false">IF(G15="","",IF(AND(G15="Actif",C15=""),"Rattachement manquant",IF(AND(G15="Actif",H15&lt;&gt;""),"Incohérence statut/date de départ",IF(G15="À vérifier","À vérifier","OK"))))</f>
        <v/>
      </c>
    </row>
    <row r="16" customFormat="false" ht="19.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 t="str">
        <f aca="false">IF(G16="","",IF(AND(G16="Actif",C16=""),"Rattachement manquant",IF(AND(G16="Actif",H16&lt;&gt;""),"Incohérence statut/date de départ",IF(G16="À vérifier","À vérifier","OK"))))</f>
        <v/>
      </c>
    </row>
    <row r="17" customFormat="false" ht="19.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 t="str">
        <f aca="false">IF(G17="","",IF(AND(G17="Actif",C17=""),"Rattachement manquant",IF(AND(G17="Actif",H17&lt;&gt;""),"Incohérence statut/date de départ",IF(G17="À vérifier","À vérifier","OK"))))</f>
        <v/>
      </c>
    </row>
    <row r="18" customFormat="false" ht="19.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 t="str">
        <f aca="false">IF(G18="","",IF(AND(G18="Actif",C18=""),"Rattachement manquant",IF(AND(G18="Actif",H18&lt;&gt;""),"Incohérence statut/date de départ",IF(G18="À vérifier","À vérifier","OK"))))</f>
        <v/>
      </c>
    </row>
    <row r="19" customFormat="false" ht="19.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 t="str">
        <f aca="false">IF(G19="","",IF(AND(G19="Actif",C19=""),"Rattachement manquant",IF(AND(G19="Actif",H19&lt;&gt;""),"Incohérence statut/date de départ",IF(G19="À vérifier","À vérifier","OK"))))</f>
        <v/>
      </c>
    </row>
    <row r="20" customFormat="false" ht="19.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 t="str">
        <f aca="false">IF(G20="","",IF(AND(G20="Actif",C20=""),"Rattachement manquant",IF(AND(G20="Actif",H20&lt;&gt;""),"Incohérence statut/date de départ",IF(G20="À vérifier","À vérifier","OK"))))</f>
        <v/>
      </c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G5:G20" type="list">
      <formula1>"Actif,Vacant,Parti - à retirer,À vérifier"</formula1>
      <formula2>0</formula2>
    </dataValidation>
    <dataValidation allowBlank="true" errorStyle="stop" operator="between" showDropDown="false" showErrorMessage="false" showInputMessage="false" sqref="D5:D20" type="list">
      <formula1>"Administratif,Fonctionnel,Administratif et fonctionnel,À clarifier"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38</v>
      </c>
      <c r="B1" s="1"/>
    </row>
    <row r="2" customFormat="false" ht="15" hidden="false" customHeight="true" outlineLevel="0" collapsed="false">
      <c r="A2" s="2" t="s">
        <v>39</v>
      </c>
      <c r="B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40</v>
      </c>
      <c r="B4" s="3" t="s">
        <v>41</v>
      </c>
    </row>
    <row r="5" customFormat="false" ht="30" hidden="false" customHeight="true" outlineLevel="0" collapsed="false">
      <c r="A5" s="4" t="s">
        <v>42</v>
      </c>
      <c r="B5" s="6" t="n">
        <f aca="false">COUNTIFS(Cartographie!$G$5:$G$20,"Actif",Cartographie!$C$5:$C$20,"")</f>
        <v>1</v>
      </c>
    </row>
    <row r="6" customFormat="false" ht="30" hidden="false" customHeight="true" outlineLevel="0" collapsed="false">
      <c r="A6" s="4" t="s">
        <v>43</v>
      </c>
      <c r="B6" s="6" t="n">
        <f aca="false">COUNTIFS(Cartographie!$G$5:$G$20,"Actif",Cartographie!$H$5:$H$20,"&lt;&gt;")</f>
        <v>1</v>
      </c>
    </row>
    <row r="7" customFormat="false" ht="30" hidden="false" customHeight="true" outlineLevel="0" collapsed="false">
      <c r="A7" s="4" t="s">
        <v>44</v>
      </c>
      <c r="B7" s="6" t="n">
        <f aca="false">COUNTIF(Cartographie!$G$5:$G$20,"À vérifier")</f>
        <v>0</v>
      </c>
    </row>
    <row r="8" customFormat="false" ht="30" hidden="false" customHeight="true" outlineLevel="0" collapsed="false">
      <c r="A8" s="4" t="s">
        <v>45</v>
      </c>
      <c r="B8" s="6" t="n">
        <f aca="false">COUNTIF(Cartographie!$I$5:$I$20,"Rattachement manquant")+COUNTIF(Cartographie!$I$5:$I$20,"Incohérence statut/date de départ")+COUNTIF(Cartographie!$I$5:$I$20,"À vérifier")</f>
        <v>2</v>
      </c>
    </row>
    <row r="10" customFormat="false" ht="30" hidden="false" customHeight="true" outlineLevel="0" collapsed="false">
      <c r="A10" s="7" t="s">
        <v>46</v>
      </c>
      <c r="B10" s="7"/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2026-09-09T23:12:12Z</dcterms:created>
  <dc:creator>openpyxl</dc:creator>
  <dc:description/>
  <dc:language>fr-FR</dc:language>
  <cp:lastModifiedBy/>
  <dcterms:modified xsi:type="dcterms:W3CDTF">2026-09-09T23:12:12Z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