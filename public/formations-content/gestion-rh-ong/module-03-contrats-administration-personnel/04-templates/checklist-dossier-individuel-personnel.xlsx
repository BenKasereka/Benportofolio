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hecklist Dossiers" sheetId="1" state="visible" r:id="rId3"/>
    <sheet name="Tableau de bord équip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<sst xmlns="http://schemas.openxmlformats.org/spreadsheetml/2006/main" count="150" uniqueCount="56">
  <si>
    <t xml:space="preserve">CHECKLIST DU DOSSIER INDIVIDUEL DU PERSONNEL</t>
  </si>
  <si>
    <t xml:space="preserve">Module 03 — Contrats de Travail &amp; Administration du Personnel — BK-BOOST Ltd.</t>
  </si>
  <si>
    <t xml:space="preserve">Renseignez Oui / Non / N/A pour chaque document et chaque employé. Le taux de complétude se calcule automatiquement (colonnes grisées : ne pas modifier les formules).</t>
  </si>
  <si>
    <t xml:space="preserve">Document requis</t>
  </si>
  <si>
    <t xml:space="preserve">Statut</t>
  </si>
  <si>
    <t xml:space="preserve">Jean-Pierre Mwamba
Chauffeur logistique · National
RDC (Goma)</t>
  </si>
  <si>
    <t xml:space="preserve">Aicha Abakar
Assistante RH · National
Tchad (Abéché)</t>
  </si>
  <si>
    <t xml:space="preserve">Nyandeng Deng
Officier Distribution · National
Soudan du Sud (Bentiu)</t>
  </si>
  <si>
    <t xml:space="preserve">Marc Lefevre
Coordinateur Terrain · Expatrié
Haïti (Port-au-Prince)</t>
  </si>
  <si>
    <t xml:space="preserve">Grace Okafor
Infirmière Superviseure · National
Nigeria (Maiduguri)</t>
  </si>
  <si>
    <t xml:space="preserve">Sophie Berger
Log Cluster Liaison · Expatrié
Tchad (N'Djamena)</t>
  </si>
  <si>
    <t xml:space="preserve">Contrat de travail signé (original)</t>
  </si>
  <si>
    <t xml:space="preserve">Oui</t>
  </si>
  <si>
    <t xml:space="preserve">Copie pièce d'identité / passeport valide</t>
  </si>
  <si>
    <t xml:space="preserve">CV à jour</t>
  </si>
  <si>
    <t xml:space="preserve">Diplômes et certificats de qualification (copies certifiées)</t>
  </si>
  <si>
    <t xml:space="preserve">Non</t>
  </si>
  <si>
    <t xml:space="preserve">Certificat médical d'aptitude au travail</t>
  </si>
  <si>
    <t xml:space="preserve">Vérification des références (au moins 2, documentée)</t>
  </si>
  <si>
    <t xml:space="preserve">Formulaire d'urgence (personne à contacter)</t>
  </si>
  <si>
    <t xml:space="preserve">Code de conduite signé (incl. politique PSEA)</t>
  </si>
  <si>
    <t xml:space="preserve">Fiche de poste signée (Job Description)</t>
  </si>
  <si>
    <t xml:space="preserve">Photo d'identité</t>
  </si>
  <si>
    <t xml:space="preserve">Coordonnées bancaires pour la paie (RIB)</t>
  </si>
  <si>
    <t xml:space="preserve">Affiliation sécurité sociale / caisse locale</t>
  </si>
  <si>
    <t xml:space="preserve">Copie visa / permis de travail (personnel expatrié uniquement)</t>
  </si>
  <si>
    <t xml:space="preserve">Selon profil</t>
  </si>
  <si>
    <t xml:space="preserve">N/A</t>
  </si>
  <si>
    <t xml:space="preserve">Attestation de fin de période d'essai</t>
  </si>
  <si>
    <t xml:space="preserve">Taux de complétude du dossier (%)</t>
  </si>
  <si>
    <t xml:space="preserve">Nombre de documents manquants</t>
  </si>
  <si>
    <t xml:space="preserve">TABLEAU DE BORD — COMPLÉTUDE DES DOSSIERS DU PERSONNEL</t>
  </si>
  <si>
    <t xml:space="preserve">Calculé automatiquement à partir de l'onglet Checklist Dossiers — ne pas modifier les formules.</t>
  </si>
  <si>
    <t xml:space="preserve">Ce tableau se met à jour seul dès que vous complétez l'onglet Checklist Dossiers. Revue recommandée : au minimum une fois par trimestre.</t>
  </si>
  <si>
    <t xml:space="preserve">Employé</t>
  </si>
  <si>
    <t xml:space="preserve">Fonction / Mission</t>
  </si>
  <si>
    <t xml:space="preserve">Taux de complétude</t>
  </si>
  <si>
    <t xml:space="preserve">Documents manquants</t>
  </si>
  <si>
    <t xml:space="preserve">Statut du dossier</t>
  </si>
  <si>
    <t xml:space="preserve">Jean-Pierre Mwamba</t>
  </si>
  <si>
    <t xml:space="preserve">Chauffeur logistique — RDC (Goma)</t>
  </si>
  <si>
    <t xml:space="preserve">Aicha Abakar</t>
  </si>
  <si>
    <t xml:space="preserve">Assistante RH — Tchad (Abéché)</t>
  </si>
  <si>
    <t xml:space="preserve">Nyandeng Deng</t>
  </si>
  <si>
    <t xml:space="preserve">Officier Distribution — Soudan du Sud (Bentiu)</t>
  </si>
  <si>
    <t xml:space="preserve">Marc Lefevre</t>
  </si>
  <si>
    <t xml:space="preserve">Coordinateur Terrain — Haïti (Port-au-Prince)</t>
  </si>
  <si>
    <t xml:space="preserve">Grace Okafor</t>
  </si>
  <si>
    <t xml:space="preserve">Infirmière Superviseure — Nigeria (Maiduguri)</t>
  </si>
  <si>
    <t xml:space="preserve">Sophie Berger</t>
  </si>
  <si>
    <t xml:space="preserve">Log Cluster Liaison — Tchad (N'Djamena)</t>
  </si>
  <si>
    <t xml:space="preserve">SYNTHÈSE ÉQUIPE</t>
  </si>
  <si>
    <t xml:space="preserve">Taux de complétude moyen de l'équipe</t>
  </si>
  <si>
    <t xml:space="preserve">Nombre de dossiers complets (100%)</t>
  </si>
  <si>
    <t xml:space="preserve">Nombre de dossiers à compléter</t>
  </si>
  <si>
    <t xml:space="preserve">Total documents manquants (toute l'équipe)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</si>
</sst>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E3A8A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65F46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B91C1C"/>
      </font>
      <fill>
        <patternFill>
          <bgColor rgb="FFFEE2E2"/>
        </patternFill>
      </fill>
    </dxf>
    <dxf>
      <font>
        <b val="1"/>
        <color rgb="FF065F46"/>
      </font>
      <fill>
        <patternFill>
          <bgColor rgb="FFD1FA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8" min="3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48" hidden="false" customHeight="true" outlineLevel="0" collapsed="false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A6" s="6" t="s">
        <v>11</v>
      </c>
      <c r="B6" s="7" t="s">
        <v>12</v>
      </c>
      <c r="C6" s="7" t="s">
        <v>12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</row>
    <row r="7" customFormat="false" ht="15" hidden="false" customHeight="false" outlineLevel="0" collapsed="false">
      <c r="A7" s="8" t="s">
        <v>13</v>
      </c>
      <c r="B7" s="9" t="s">
        <v>12</v>
      </c>
      <c r="C7" s="9" t="s">
        <v>12</v>
      </c>
      <c r="D7" s="9" t="s">
        <v>12</v>
      </c>
      <c r="E7" s="9" t="s">
        <v>12</v>
      </c>
      <c r="F7" s="9" t="s">
        <v>12</v>
      </c>
      <c r="G7" s="9" t="s">
        <v>12</v>
      </c>
      <c r="H7" s="9" t="s">
        <v>12</v>
      </c>
    </row>
    <row r="8" customFormat="false" ht="15" hidden="false" customHeight="false" outlineLevel="0" collapsed="false">
      <c r="A8" s="6" t="s">
        <v>14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</row>
    <row r="9" customFormat="false" ht="15" hidden="false" customHeight="false" outlineLevel="0" collapsed="false">
      <c r="A9" s="8" t="s">
        <v>15</v>
      </c>
      <c r="B9" s="9" t="s">
        <v>12</v>
      </c>
      <c r="C9" s="9" t="s">
        <v>12</v>
      </c>
      <c r="D9" s="9" t="s">
        <v>12</v>
      </c>
      <c r="E9" s="9" t="s">
        <v>16</v>
      </c>
      <c r="F9" s="9" t="s">
        <v>12</v>
      </c>
      <c r="G9" s="9" t="s">
        <v>12</v>
      </c>
      <c r="H9" s="9" t="s">
        <v>12</v>
      </c>
    </row>
    <row r="10" customFormat="false" ht="15" hidden="false" customHeight="false" outlineLevel="0" collapsed="false">
      <c r="A10" s="6" t="s">
        <v>17</v>
      </c>
      <c r="B10" s="7" t="s">
        <v>12</v>
      </c>
      <c r="C10" s="7" t="s">
        <v>16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</row>
    <row r="11" customFormat="false" ht="15" hidden="false" customHeight="false" outlineLevel="0" collapsed="false">
      <c r="A11" s="8" t="s">
        <v>18</v>
      </c>
      <c r="B11" s="9" t="s">
        <v>12</v>
      </c>
      <c r="C11" s="9" t="s">
        <v>16</v>
      </c>
      <c r="D11" s="9" t="s">
        <v>12</v>
      </c>
      <c r="E11" s="9" t="s">
        <v>12</v>
      </c>
      <c r="F11" s="9" t="s">
        <v>12</v>
      </c>
      <c r="G11" s="9" t="s">
        <v>12</v>
      </c>
      <c r="H11" s="9" t="s">
        <v>12</v>
      </c>
    </row>
    <row r="12" customFormat="false" ht="15" hidden="false" customHeight="false" outlineLevel="0" collapsed="false">
      <c r="A12" s="6" t="s">
        <v>19</v>
      </c>
      <c r="B12" s="7" t="s">
        <v>12</v>
      </c>
      <c r="C12" s="7" t="s">
        <v>12</v>
      </c>
      <c r="D12" s="7" t="s">
        <v>12</v>
      </c>
      <c r="E12" s="7" t="s">
        <v>12</v>
      </c>
      <c r="F12" s="7" t="s">
        <v>12</v>
      </c>
      <c r="G12" s="7" t="s">
        <v>12</v>
      </c>
      <c r="H12" s="7" t="s">
        <v>16</v>
      </c>
    </row>
    <row r="13" customFormat="false" ht="15" hidden="false" customHeight="false" outlineLevel="0" collapsed="false">
      <c r="A13" s="8" t="s">
        <v>20</v>
      </c>
      <c r="B13" s="9" t="s">
        <v>12</v>
      </c>
      <c r="C13" s="9" t="s">
        <v>12</v>
      </c>
      <c r="D13" s="9" t="s">
        <v>12</v>
      </c>
      <c r="E13" s="9" t="s">
        <v>12</v>
      </c>
      <c r="F13" s="9" t="s">
        <v>12</v>
      </c>
      <c r="G13" s="9" t="s">
        <v>16</v>
      </c>
      <c r="H13" s="9" t="s">
        <v>12</v>
      </c>
    </row>
    <row r="14" customFormat="false" ht="15" hidden="false" customHeight="false" outlineLevel="0" collapsed="false">
      <c r="A14" s="6" t="s">
        <v>21</v>
      </c>
      <c r="B14" s="7" t="s">
        <v>12</v>
      </c>
      <c r="C14" s="7" t="s">
        <v>12</v>
      </c>
      <c r="D14" s="7" t="s">
        <v>12</v>
      </c>
      <c r="E14" s="7" t="s">
        <v>12</v>
      </c>
      <c r="F14" s="7" t="s">
        <v>12</v>
      </c>
      <c r="G14" s="7" t="s">
        <v>12</v>
      </c>
      <c r="H14" s="7" t="s">
        <v>12</v>
      </c>
    </row>
    <row r="15" customFormat="false" ht="15" hidden="false" customHeight="false" outlineLevel="0" collapsed="false">
      <c r="A15" s="8" t="s">
        <v>22</v>
      </c>
      <c r="B15" s="9" t="s">
        <v>12</v>
      </c>
      <c r="C15" s="9" t="s">
        <v>12</v>
      </c>
      <c r="D15" s="9" t="s">
        <v>12</v>
      </c>
      <c r="E15" s="9" t="s">
        <v>12</v>
      </c>
      <c r="F15" s="9" t="s">
        <v>12</v>
      </c>
      <c r="G15" s="9" t="s">
        <v>12</v>
      </c>
      <c r="H15" s="9" t="s">
        <v>12</v>
      </c>
    </row>
    <row r="16" customFormat="false" ht="15" hidden="false" customHeight="false" outlineLevel="0" collapsed="false">
      <c r="A16" s="6" t="s">
        <v>23</v>
      </c>
      <c r="B16" s="7" t="s">
        <v>12</v>
      </c>
      <c r="C16" s="7" t="s">
        <v>12</v>
      </c>
      <c r="D16" s="7" t="s">
        <v>12</v>
      </c>
      <c r="E16" s="7" t="s">
        <v>12</v>
      </c>
      <c r="F16" s="7" t="s">
        <v>12</v>
      </c>
      <c r="G16" s="7" t="s">
        <v>12</v>
      </c>
      <c r="H16" s="7" t="s">
        <v>12</v>
      </c>
    </row>
    <row r="17" customFormat="false" ht="15" hidden="false" customHeight="false" outlineLevel="0" collapsed="false">
      <c r="A17" s="8" t="s">
        <v>24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16</v>
      </c>
      <c r="G17" s="9" t="s">
        <v>12</v>
      </c>
      <c r="H17" s="9" t="s">
        <v>12</v>
      </c>
    </row>
    <row r="18" customFormat="false" ht="24" hidden="false" customHeight="false" outlineLevel="0" collapsed="false">
      <c r="A18" s="6" t="s">
        <v>25</v>
      </c>
      <c r="B18" s="7" t="s">
        <v>26</v>
      </c>
      <c r="C18" s="7" t="s">
        <v>27</v>
      </c>
      <c r="D18" s="7" t="s">
        <v>27</v>
      </c>
      <c r="E18" s="7" t="s">
        <v>27</v>
      </c>
      <c r="F18" s="7" t="s">
        <v>12</v>
      </c>
      <c r="G18" s="7" t="s">
        <v>27</v>
      </c>
      <c r="H18" s="7" t="s">
        <v>12</v>
      </c>
    </row>
    <row r="19" customFormat="false" ht="15" hidden="false" customHeight="false" outlineLevel="0" collapsed="false">
      <c r="A19" s="8" t="s">
        <v>28</v>
      </c>
      <c r="B19" s="9" t="s">
        <v>26</v>
      </c>
      <c r="C19" s="9" t="s">
        <v>27</v>
      </c>
      <c r="D19" s="9" t="s">
        <v>27</v>
      </c>
      <c r="E19" s="9" t="s">
        <v>27</v>
      </c>
      <c r="F19" s="9" t="s">
        <v>27</v>
      </c>
      <c r="G19" s="9" t="s">
        <v>27</v>
      </c>
      <c r="H19" s="9" t="s">
        <v>27</v>
      </c>
    </row>
    <row r="21" customFormat="false" ht="19.5" hidden="false" customHeight="true" outlineLevel="0" collapsed="false">
      <c r="A21" s="10" t="s">
        <v>29</v>
      </c>
      <c r="B21" s="10"/>
      <c r="C21" s="11" t="n">
        <f aca="false">ROUND(COUNTIF(C6:C19,"Oui")/(COUNTIF(C6:C19,"Oui")+COUNTIF(C6:C19,"Non"))*100,0)</f>
        <v>83</v>
      </c>
      <c r="D21" s="11" t="n">
        <f aca="false">ROUND(COUNTIF(D6:D19,"Oui")/(COUNTIF(D6:D19,"Oui")+COUNTIF(D6:D19,"Non"))*100,0)</f>
        <v>100</v>
      </c>
      <c r="E21" s="11" t="n">
        <f aca="false">ROUND(COUNTIF(E6:E19,"Oui")/(COUNTIF(E6:E19,"Oui")+COUNTIF(E6:E19,"Non"))*100,0)</f>
        <v>92</v>
      </c>
      <c r="F21" s="11" t="n">
        <f aca="false">ROUND(COUNTIF(F6:F19,"Oui")/(COUNTIF(F6:F19,"Oui")+COUNTIF(F6:F19,"Non"))*100,0)</f>
        <v>92</v>
      </c>
      <c r="G21" s="11" t="n">
        <f aca="false">ROUND(COUNTIF(G6:G19,"Oui")/(COUNTIF(G6:G19,"Oui")+COUNTIF(G6:G19,"Non"))*100,0)</f>
        <v>92</v>
      </c>
      <c r="H21" s="11" t="n">
        <f aca="false">ROUND(COUNTIF(H6:H19,"Oui")/(COUNTIF(H6:H19,"Oui")+COUNTIF(H6:H19,"Non"))*100,0)</f>
        <v>92</v>
      </c>
    </row>
    <row r="22" customFormat="false" ht="15" hidden="false" customHeight="false" outlineLevel="0" collapsed="false">
      <c r="A22" s="12" t="s">
        <v>30</v>
      </c>
      <c r="B22" s="12"/>
      <c r="C22" s="13" t="n">
        <f aca="false">COUNTIF(C6:C19,"Non")</f>
        <v>2</v>
      </c>
      <c r="D22" s="13" t="n">
        <f aca="false">COUNTIF(D6:D19,"Non")</f>
        <v>0</v>
      </c>
      <c r="E22" s="13" t="n">
        <f aca="false">COUNTIF(E6:E19,"Non")</f>
        <v>1</v>
      </c>
      <c r="F22" s="13" t="n">
        <f aca="false">COUNTIF(F6:F19,"Non")</f>
        <v>1</v>
      </c>
      <c r="G22" s="13" t="n">
        <f aca="false">COUNTIF(G6:G19,"Non")</f>
        <v>1</v>
      </c>
      <c r="H22" s="13" t="n">
        <f aca="false">COUNTIF(H6:H19,"Non")</f>
        <v>1</v>
      </c>
    </row>
  </sheetData>
  <mergeCells count="5">
    <mergeCell ref="A1:H1"/>
    <mergeCell ref="A2:H2"/>
    <mergeCell ref="A3:H3"/>
    <mergeCell ref="A21:B21"/>
    <mergeCell ref="A22:B22"/>
  </mergeCells>
  <conditionalFormatting sqref="C21:H21">
    <cfRule type="cellIs" priority="2" operator="lessThan" aboveAverage="0" equalAverage="0" bottom="0" percent="0" rank="0" text="" dxfId="0">
      <formula>100</formula>
    </cfRule>
    <cfRule type="cellIs" priority="3" operator="equal" aboveAverage="0" equalAverage="0" bottom="0" percent="0" rank="0" text="" dxfId="1">
      <formula>100</formula>
    </cfRule>
  </conditionalFormatting>
  <dataValidations count="1">
    <dataValidation allowBlank="false" errorStyle="stop" operator="between" showDropDown="false" showErrorMessage="false" showInputMessage="false" sqref="C6:H19" type="list">
      <formula1>"Oui,Non,N/A"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32</v>
      </c>
      <c r="B2" s="2"/>
      <c r="C2" s="2"/>
      <c r="D2" s="2"/>
      <c r="E2" s="2"/>
    </row>
    <row r="4" customFormat="false" ht="25.5" hidden="false" customHeight="true" outlineLevel="0" collapsed="false">
      <c r="A4" s="3" t="s">
        <v>33</v>
      </c>
      <c r="B4" s="3"/>
      <c r="C4" s="3"/>
      <c r="D4" s="3"/>
      <c r="E4" s="3"/>
    </row>
    <row r="6" customFormat="false" ht="24" hidden="false" customHeight="true" outlineLevel="0" collapsed="false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</row>
    <row r="7" customFormat="false" ht="15" hidden="false" customHeight="false" outlineLevel="0" collapsed="false">
      <c r="A7" s="14" t="s">
        <v>39</v>
      </c>
      <c r="B7" s="7" t="s">
        <v>40</v>
      </c>
      <c r="C7" s="15" t="n">
        <f aca="false">'Checklist Dossiers'!C21</f>
        <v>83</v>
      </c>
      <c r="D7" s="7" t="n">
        <f aca="false">'Checklist Dossiers'!C22</f>
        <v>2</v>
      </c>
      <c r="E7" s="7" t="str">
        <f aca="false">IF(C7=100,"Complet","À compléter")</f>
        <v>À compléter</v>
      </c>
    </row>
    <row r="8" customFormat="false" ht="15" hidden="false" customHeight="false" outlineLevel="0" collapsed="false">
      <c r="A8" s="16" t="s">
        <v>41</v>
      </c>
      <c r="B8" s="9" t="s">
        <v>42</v>
      </c>
      <c r="C8" s="17" t="n">
        <f aca="false">'Checklist Dossiers'!D21</f>
        <v>100</v>
      </c>
      <c r="D8" s="9" t="n">
        <f aca="false">'Checklist Dossiers'!D22</f>
        <v>0</v>
      </c>
      <c r="E8" s="9" t="str">
        <f aca="false">IF(C8=100,"Complet","À compléter")</f>
        <v>Complet</v>
      </c>
    </row>
    <row r="9" customFormat="false" ht="15" hidden="false" customHeight="false" outlineLevel="0" collapsed="false">
      <c r="A9" s="14" t="s">
        <v>43</v>
      </c>
      <c r="B9" s="7" t="s">
        <v>44</v>
      </c>
      <c r="C9" s="15" t="n">
        <f aca="false">'Checklist Dossiers'!E21</f>
        <v>92</v>
      </c>
      <c r="D9" s="7" t="n">
        <f aca="false">'Checklist Dossiers'!E22</f>
        <v>1</v>
      </c>
      <c r="E9" s="7" t="str">
        <f aca="false">IF(C9=100,"Complet","À compléter")</f>
        <v>À compléter</v>
      </c>
    </row>
    <row r="10" customFormat="false" ht="15" hidden="false" customHeight="false" outlineLevel="0" collapsed="false">
      <c r="A10" s="16" t="s">
        <v>45</v>
      </c>
      <c r="B10" s="9" t="s">
        <v>46</v>
      </c>
      <c r="C10" s="17" t="n">
        <f aca="false">'Checklist Dossiers'!F21</f>
        <v>92</v>
      </c>
      <c r="D10" s="9" t="n">
        <f aca="false">'Checklist Dossiers'!F22</f>
        <v>1</v>
      </c>
      <c r="E10" s="9" t="str">
        <f aca="false">IF(C10=100,"Complet","À compléter")</f>
        <v>À compléter</v>
      </c>
    </row>
    <row r="11" customFormat="false" ht="15" hidden="false" customHeight="false" outlineLevel="0" collapsed="false">
      <c r="A11" s="14" t="s">
        <v>47</v>
      </c>
      <c r="B11" s="7" t="s">
        <v>48</v>
      </c>
      <c r="C11" s="15" t="n">
        <f aca="false">'Checklist Dossiers'!G21</f>
        <v>92</v>
      </c>
      <c r="D11" s="7" t="n">
        <f aca="false">'Checklist Dossiers'!G22</f>
        <v>1</v>
      </c>
      <c r="E11" s="7" t="str">
        <f aca="false">IF(C11=100,"Complet","À compléter")</f>
        <v>À compléter</v>
      </c>
    </row>
    <row r="12" customFormat="false" ht="15" hidden="false" customHeight="false" outlineLevel="0" collapsed="false">
      <c r="A12" s="16" t="s">
        <v>49</v>
      </c>
      <c r="B12" s="9" t="s">
        <v>50</v>
      </c>
      <c r="C12" s="17" t="n">
        <f aca="false">'Checklist Dossiers'!H21</f>
        <v>92</v>
      </c>
      <c r="D12" s="9" t="n">
        <f aca="false">'Checklist Dossiers'!H22</f>
        <v>1</v>
      </c>
      <c r="E12" s="9" t="str">
        <f aca="false">IF(C12=100,"Complet","À compléter")</f>
        <v>À compléter</v>
      </c>
    </row>
    <row r="14" customFormat="false" ht="15" hidden="false" customHeight="false" outlineLevel="0" collapsed="false">
      <c r="A14" s="18" t="s">
        <v>51</v>
      </c>
      <c r="B14" s="18"/>
      <c r="C14" s="18"/>
      <c r="D14" s="18"/>
      <c r="E14" s="18"/>
    </row>
    <row r="15" customFormat="false" ht="15" hidden="false" customHeight="false" outlineLevel="0" collapsed="false">
      <c r="A15" s="12" t="s">
        <v>52</v>
      </c>
      <c r="B15" s="12"/>
      <c r="C15" s="12"/>
      <c r="D15" s="19" t="n">
        <f aca="false">ROUND(AVERAGE(C7:C12),0)</f>
        <v>92</v>
      </c>
    </row>
    <row r="16" customFormat="false" ht="15" hidden="false" customHeight="false" outlineLevel="0" collapsed="false">
      <c r="A16" s="12" t="s">
        <v>53</v>
      </c>
      <c r="B16" s="12"/>
      <c r="C16" s="12"/>
      <c r="D16" s="20" t="n">
        <f aca="false">COUNTIF(E7:E12,"Complet")</f>
        <v>1</v>
      </c>
    </row>
    <row r="17" customFormat="false" ht="15" hidden="false" customHeight="false" outlineLevel="0" collapsed="false">
      <c r="A17" s="12" t="s">
        <v>54</v>
      </c>
      <c r="B17" s="12"/>
      <c r="C17" s="12"/>
      <c r="D17" s="20" t="n">
        <f aca="false">COUNTIF(E7:E12,"À compléter")</f>
        <v>5</v>
      </c>
    </row>
    <row r="18" customFormat="false" ht="15" hidden="false" customHeight="false" outlineLevel="0" collapsed="false">
      <c r="A18" s="12" t="s">
        <v>55</v>
      </c>
      <c r="B18" s="12"/>
      <c r="C18" s="12"/>
      <c r="D18" s="20" t="n">
        <f aca="false">SUM(D7:D12)</f>
        <v>6</v>
      </c>
    </row>
  </sheetData>
  <mergeCells count="8">
    <mergeCell ref="A1:E1"/>
    <mergeCell ref="A2:E2"/>
    <mergeCell ref="A4:E4"/>
    <mergeCell ref="A14:E14"/>
    <mergeCell ref="A15:C15"/>
    <mergeCell ref="A16:C16"/>
    <mergeCell ref="A17:C17"/>
    <mergeCell ref="A18:C18"/>
  </mergeCells>
  <conditionalFormatting sqref="E7:E12">
    <cfRule type="expression" priority="2" aboveAverage="0" equalAverage="0" bottom="0" percent="0" rank="0" text="" dxfId="1">
      <formula>E7="Complet"</formula>
    </cfRule>
    <cfRule type="expression" priority="3" aboveAverage="0" equalAverage="0" bottom="0" percent="0" rank="0" text="" dxfId="0">
      <formula>E7="À compléter"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2026-09-09T23:13:07Z</dcterms:created>
  <dc:creator>openpyxl</dc:creator>
  <dc:description/>
  <dc:language>fr-FR</dc:language>
  <cp:lastModifiedBy/>
  <dcterms:modified xsi:type="dcterms:W3CDTF">2026-09-09T23:13:07Z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