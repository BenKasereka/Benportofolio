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nchmarking" sheetId="1" state="visible" r:id="rId3"/>
    <sheet name="Grille salariale" sheetId="2" state="visible" r:id="rId4"/>
    <sheet name="Equite inter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<sst xmlns="http://schemas.openxmlformats.org/spreadsheetml/2006/main" count="84" uniqueCount="53">
  <si>
    <t xml:space="preserve">BENCHMARKING SALARIAL DE REFERENCE</t>
  </si>
  <si>
    <t xml:space="preserve">Module 04 — Politique de Remuneration &amp; Avantages Sociaux — BK-BOOST Ltd.</t>
  </si>
  <si>
    <t xml:space="preserve">Poste-repere</t>
  </si>
  <si>
    <t xml:space="preserve">Bareme ONU/ICSC
equivalent (USD/mois)</t>
  </si>
  <si>
    <t xml:space="preserve">Enquete inter-ONG
— min (USD/mois)</t>
  </si>
  <si>
    <t xml:space="preserve">Enquete inter-ONG
— max (USD/mois)</t>
  </si>
  <si>
    <t xml:space="preserve">Salaire minimum
legal local (USD/mois)</t>
  </si>
  <si>
    <t xml:space="preserve">Percentile de
positionnement retenu</t>
  </si>
  <si>
    <t xml:space="preserve">Date de la
donnee</t>
  </si>
  <si>
    <t xml:space="preserve">Source / commentaire</t>
  </si>
  <si>
    <t xml:space="preserve">Chauffeur / Logisticien base</t>
  </si>
  <si>
    <t xml:space="preserve">60e percentile ONG</t>
  </si>
  <si>
    <t xml:space="preserve">2026-01-10</t>
  </si>
  <si>
    <t xml:space="preserve">Enquete inter-ONG N'Djamena, Tchad</t>
  </si>
  <si>
    <t xml:space="preserve">Assistant Administratif RH</t>
  </si>
  <si>
    <t xml:space="preserve">55e percentile ONG</t>
  </si>
  <si>
    <t xml:space="preserve">Charge de Programme</t>
  </si>
  <si>
    <t xml:space="preserve">2026-01-12</t>
  </si>
  <si>
    <t xml:space="preserve">Bareme ICSC NO-A / enquete inter-ONG</t>
  </si>
  <si>
    <t xml:space="preserve">HR Officer</t>
  </si>
  <si>
    <t xml:space="preserve">Coordinateur Terrain</t>
  </si>
  <si>
    <t xml:space="preserve">65e percentile ONG</t>
  </si>
  <si>
    <t xml:space="preserve">2026-01-15</t>
  </si>
  <si>
    <t xml:space="preserve">Bareme ICSC NO-B / enquete inter-ONG</t>
  </si>
  <si>
    <t xml:space="preserve">HR Manager Pays</t>
  </si>
  <si>
    <t xml:space="preserve">Regle de positionnement de l'organisation : jamais en dessous du salaire minimum legal local, jamais au-dessus de 65% du bareme ONU/ICSC equivalent, cible generale = percentile indique par poste ci-dessus.</t>
  </si>
  <si>
    <t xml:space="preserve">GRILLE SALARIALE PAR COEFFICIENT DE POSTE</t>
  </si>
  <si>
    <t xml:space="preserve">Salaire propose = Salaire de base organisation x Coefficient de poste x Facteur d'experience — ne pas modifier les colonnes de formule.</t>
  </si>
  <si>
    <t xml:space="preserve">Salaire de base organisation (USD) :</t>
  </si>
  <si>
    <t xml:space="preserve">Nom (ou N/A si
poste-type)</t>
  </si>
  <si>
    <t xml:space="preserve">Poste</t>
  </si>
  <si>
    <t xml:space="preserve">Famille de poste</t>
  </si>
  <si>
    <t xml:space="preserve">Coefficient
de poste</t>
  </si>
  <si>
    <t xml:space="preserve">Facteur
d'experience</t>
  </si>
  <si>
    <t xml:space="preserve">Salaire de base
organisation (USD)</t>
  </si>
  <si>
    <t xml:space="preserve">Salaire propose
par la grille (USD)</t>
  </si>
  <si>
    <t xml:space="preserve">Salaire reel
actuel (USD)</t>
  </si>
  <si>
    <t xml:space="preserve">Ecart grille vs
reel (USD)</t>
  </si>
  <si>
    <t xml:space="preserve">Poste-type</t>
  </si>
  <si>
    <t xml:space="preserve">Support</t>
  </si>
  <si>
    <t xml:space="preserve">Mamadou K.</t>
  </si>
  <si>
    <t xml:space="preserve">Programme</t>
  </si>
  <si>
    <t xml:space="preserve">Fatime A.</t>
  </si>
  <si>
    <t xml:space="preserve">Coordination</t>
  </si>
  <si>
    <t xml:space="preserve">Les lignes surlignees indiquent un ecart superieur a 15% entre le salaire reel actuel et le salaire calcule par la grille : a documenter ou corriger avant validation.</t>
  </si>
  <si>
    <t xml:space="preserve">VERIFICATION D'EQUITE INTERNE</t>
  </si>
  <si>
    <t xml:space="preserve">Calculee automatiquement a partir de l'onglet Grille salariale — ne pas modifier les formules.</t>
  </si>
  <si>
    <t xml:space="preserve">Coefficient de poste</t>
  </si>
  <si>
    <t xml:space="preserve">Nombre d'employes
sur ce poste</t>
  </si>
  <si>
    <t xml:space="preserve">Salaire reel min (USD)</t>
  </si>
  <si>
    <t xml:space="preserve">Salaire reel max (USD)</t>
  </si>
  <si>
    <t xml:space="preserve">Ecart max/min (%)</t>
  </si>
  <si>
    <t xml:space="preserve">Un ecart max/min superieur a 10% entre employes occupant un poste au meme coefficient est signale en rouge : verifier s'il est justifie (anciennete, experience documentee) ou s'il constitue une inegalite de traitement a corriger (voir Module 04 - Etude de cas).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</si>
</sst>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\ 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1D4ED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450</v>
      </c>
      <c r="C5" s="5" t="n">
        <v>220</v>
      </c>
      <c r="D5" s="5" t="n">
        <v>320</v>
      </c>
      <c r="E5" s="5" t="n">
        <v>120</v>
      </c>
      <c r="F5" s="6" t="s">
        <v>11</v>
      </c>
      <c r="G5" s="6" t="s">
        <v>12</v>
      </c>
      <c r="H5" s="4" t="s">
        <v>13</v>
      </c>
    </row>
    <row r="6" customFormat="false" ht="15" hidden="false" customHeight="false" outlineLevel="0" collapsed="false">
      <c r="A6" s="7" t="s">
        <v>14</v>
      </c>
      <c r="B6" s="8" t="n">
        <v>620</v>
      </c>
      <c r="C6" s="8" t="n">
        <v>280</v>
      </c>
      <c r="D6" s="8" t="n">
        <v>420</v>
      </c>
      <c r="E6" s="8" t="n">
        <v>150</v>
      </c>
      <c r="F6" s="9" t="s">
        <v>15</v>
      </c>
      <c r="G6" s="9" t="s">
        <v>12</v>
      </c>
      <c r="H6" s="7" t="s">
        <v>13</v>
      </c>
    </row>
    <row r="7" customFormat="false" ht="24" hidden="false" customHeight="false" outlineLevel="0" collapsed="false">
      <c r="A7" s="4" t="s">
        <v>16</v>
      </c>
      <c r="B7" s="5" t="n">
        <v>1450</v>
      </c>
      <c r="C7" s="5" t="n">
        <v>650</v>
      </c>
      <c r="D7" s="5" t="n">
        <v>950</v>
      </c>
      <c r="E7" s="5" t="n">
        <v>220</v>
      </c>
      <c r="F7" s="6" t="s">
        <v>11</v>
      </c>
      <c r="G7" s="6" t="s">
        <v>17</v>
      </c>
      <c r="H7" s="4" t="s">
        <v>18</v>
      </c>
    </row>
    <row r="8" customFormat="false" ht="24" hidden="false" customHeight="false" outlineLevel="0" collapsed="false">
      <c r="A8" s="7" t="s">
        <v>19</v>
      </c>
      <c r="B8" s="8" t="n">
        <v>1600</v>
      </c>
      <c r="C8" s="8" t="n">
        <v>700</v>
      </c>
      <c r="D8" s="8" t="n">
        <v>1050</v>
      </c>
      <c r="E8" s="8" t="n">
        <v>220</v>
      </c>
      <c r="F8" s="9" t="s">
        <v>11</v>
      </c>
      <c r="G8" s="9" t="s">
        <v>17</v>
      </c>
      <c r="H8" s="7" t="s">
        <v>18</v>
      </c>
    </row>
    <row r="9" customFormat="false" ht="24" hidden="false" customHeight="false" outlineLevel="0" collapsed="false">
      <c r="A9" s="4" t="s">
        <v>20</v>
      </c>
      <c r="B9" s="5" t="n">
        <v>2600</v>
      </c>
      <c r="C9" s="5" t="n">
        <v>1300</v>
      </c>
      <c r="D9" s="5" t="n">
        <v>1900</v>
      </c>
      <c r="E9" s="5" t="n">
        <v>300</v>
      </c>
      <c r="F9" s="6" t="s">
        <v>21</v>
      </c>
      <c r="G9" s="6" t="s">
        <v>22</v>
      </c>
      <c r="H9" s="4" t="s">
        <v>23</v>
      </c>
    </row>
    <row r="10" customFormat="false" ht="24" hidden="false" customHeight="false" outlineLevel="0" collapsed="false">
      <c r="A10" s="7" t="s">
        <v>24</v>
      </c>
      <c r="B10" s="8" t="n">
        <v>3100</v>
      </c>
      <c r="C10" s="8" t="n">
        <v>1500</v>
      </c>
      <c r="D10" s="8" t="n">
        <v>2200</v>
      </c>
      <c r="E10" s="8" t="n">
        <v>300</v>
      </c>
      <c r="F10" s="9" t="s">
        <v>21</v>
      </c>
      <c r="G10" s="9" t="s">
        <v>22</v>
      </c>
      <c r="H10" s="7" t="s">
        <v>23</v>
      </c>
    </row>
    <row r="12" customFormat="false" ht="27.75" hidden="false" customHeight="true" outlineLevel="0" collapsed="false">
      <c r="A12" s="10" t="s">
        <v>25</v>
      </c>
      <c r="B12" s="10"/>
      <c r="C12" s="10"/>
      <c r="D12" s="10"/>
      <c r="E12" s="10"/>
      <c r="F12" s="10"/>
      <c r="G12" s="10"/>
      <c r="H12" s="10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7" min="6" style="0" width="18"/>
    <col collapsed="false" customWidth="true" hidden="false" outlineLevel="0" max="9" min="8" style="0" width="16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11" t="s">
        <v>28</v>
      </c>
      <c r="B3" s="12" t="n">
        <v>300</v>
      </c>
    </row>
    <row r="4" customFormat="false" ht="30" hidden="false" customHeight="tru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</row>
    <row r="5" customFormat="false" ht="15" hidden="false" customHeight="false" outlineLevel="0" collapsed="false">
      <c r="A5" s="4" t="s">
        <v>38</v>
      </c>
      <c r="B5" s="4" t="s">
        <v>10</v>
      </c>
      <c r="C5" s="6" t="s">
        <v>39</v>
      </c>
      <c r="D5" s="13" t="n">
        <v>1.5</v>
      </c>
      <c r="E5" s="14" t="n">
        <v>1</v>
      </c>
      <c r="F5" s="5" t="n">
        <f aca="false">B3</f>
        <v>300</v>
      </c>
      <c r="G5" s="15" t="n">
        <f aca="false">F5*D5*E5</f>
        <v>450</v>
      </c>
      <c r="H5" s="5"/>
      <c r="I5" s="5" t="str">
        <f aca="false">IF(H5="","",H5-G5)</f>
        <v/>
      </c>
    </row>
    <row r="6" customFormat="false" ht="15" hidden="false" customHeight="false" outlineLevel="0" collapsed="false">
      <c r="A6" s="7" t="s">
        <v>38</v>
      </c>
      <c r="B6" s="7" t="s">
        <v>14</v>
      </c>
      <c r="C6" s="9" t="s">
        <v>39</v>
      </c>
      <c r="D6" s="16" t="n">
        <v>2</v>
      </c>
      <c r="E6" s="17" t="n">
        <v>1</v>
      </c>
      <c r="F6" s="8" t="n">
        <f aca="false">B3</f>
        <v>300</v>
      </c>
      <c r="G6" s="18" t="n">
        <f aca="false">F6*D6*E6</f>
        <v>600</v>
      </c>
      <c r="H6" s="8"/>
      <c r="I6" s="8" t="str">
        <f aca="false">IF(H6="","",H6-G6)</f>
        <v/>
      </c>
    </row>
    <row r="7" customFormat="false" ht="15" hidden="false" customHeight="false" outlineLevel="0" collapsed="false">
      <c r="A7" s="4" t="s">
        <v>40</v>
      </c>
      <c r="B7" s="4" t="s">
        <v>16</v>
      </c>
      <c r="C7" s="6" t="s">
        <v>41</v>
      </c>
      <c r="D7" s="13" t="n">
        <v>4.5</v>
      </c>
      <c r="E7" s="14" t="n">
        <v>1.1</v>
      </c>
      <c r="F7" s="5" t="n">
        <f aca="false">B3</f>
        <v>300</v>
      </c>
      <c r="G7" s="15" t="n">
        <f aca="false">F7*D7*E7</f>
        <v>1485</v>
      </c>
      <c r="H7" s="5" t="n">
        <v>950</v>
      </c>
      <c r="I7" s="5" t="n">
        <f aca="false">IF(H7="","",H7-G7)</f>
        <v>-535</v>
      </c>
    </row>
    <row r="8" customFormat="false" ht="15" hidden="false" customHeight="false" outlineLevel="0" collapsed="false">
      <c r="A8" s="7" t="s">
        <v>42</v>
      </c>
      <c r="B8" s="7" t="s">
        <v>16</v>
      </c>
      <c r="C8" s="9" t="s">
        <v>41</v>
      </c>
      <c r="D8" s="16" t="n">
        <v>4.5</v>
      </c>
      <c r="E8" s="17" t="n">
        <v>1</v>
      </c>
      <c r="F8" s="8" t="n">
        <f aca="false">B3</f>
        <v>300</v>
      </c>
      <c r="G8" s="18" t="n">
        <f aca="false">F8*D8*E8</f>
        <v>1350</v>
      </c>
      <c r="H8" s="8" t="n">
        <v>620</v>
      </c>
      <c r="I8" s="8" t="n">
        <f aca="false">IF(H8="","",H8-G8)</f>
        <v>-730</v>
      </c>
    </row>
    <row r="9" customFormat="false" ht="15" hidden="false" customHeight="false" outlineLevel="0" collapsed="false">
      <c r="A9" s="4" t="s">
        <v>38</v>
      </c>
      <c r="B9" s="4" t="s">
        <v>19</v>
      </c>
      <c r="C9" s="6" t="s">
        <v>39</v>
      </c>
      <c r="D9" s="13" t="n">
        <v>5</v>
      </c>
      <c r="E9" s="14" t="n">
        <v>1</v>
      </c>
      <c r="F9" s="5" t="n">
        <f aca="false">B3</f>
        <v>300</v>
      </c>
      <c r="G9" s="15" t="n">
        <f aca="false">F9*D9*E9</f>
        <v>1500</v>
      </c>
      <c r="H9" s="5"/>
      <c r="I9" s="5" t="str">
        <f aca="false">IF(H9="","",H9-G9)</f>
        <v/>
      </c>
    </row>
    <row r="10" customFormat="false" ht="15" hidden="false" customHeight="false" outlineLevel="0" collapsed="false">
      <c r="A10" s="7" t="s">
        <v>38</v>
      </c>
      <c r="B10" s="7" t="s">
        <v>20</v>
      </c>
      <c r="C10" s="9" t="s">
        <v>43</v>
      </c>
      <c r="D10" s="16" t="n">
        <v>8</v>
      </c>
      <c r="E10" s="17" t="n">
        <v>1.2</v>
      </c>
      <c r="F10" s="8" t="n">
        <f aca="false">B3</f>
        <v>300</v>
      </c>
      <c r="G10" s="18" t="n">
        <f aca="false">F10*D10*E10</f>
        <v>2880</v>
      </c>
      <c r="H10" s="8"/>
      <c r="I10" s="8" t="str">
        <f aca="false">IF(H10="","",H10-G10)</f>
        <v/>
      </c>
    </row>
    <row r="11" customFormat="false" ht="15" hidden="false" customHeight="false" outlineLevel="0" collapsed="false">
      <c r="A11" s="4" t="s">
        <v>38</v>
      </c>
      <c r="B11" s="4" t="s">
        <v>24</v>
      </c>
      <c r="C11" s="6" t="s">
        <v>43</v>
      </c>
      <c r="D11" s="13" t="n">
        <v>9.5</v>
      </c>
      <c r="E11" s="14" t="n">
        <v>1.2</v>
      </c>
      <c r="F11" s="5" t="n">
        <f aca="false">B3</f>
        <v>300</v>
      </c>
      <c r="G11" s="15" t="n">
        <f aca="false">F11*D11*E11</f>
        <v>3420</v>
      </c>
      <c r="H11" s="5"/>
      <c r="I11" s="5" t="str">
        <f aca="false">IF(H11="","",H11-G11)</f>
        <v/>
      </c>
    </row>
    <row r="13" customFormat="false" ht="27.75" hidden="false" customHeight="true" outlineLevel="0" collapsed="false">
      <c r="A13" s="10" t="s">
        <v>44</v>
      </c>
      <c r="B13" s="10"/>
      <c r="C13" s="10"/>
      <c r="D13" s="10"/>
      <c r="E13" s="10"/>
      <c r="F13" s="10"/>
      <c r="G13" s="10"/>
      <c r="H13" s="10"/>
      <c r="I13" s="10"/>
    </row>
  </sheetData>
  <mergeCells count="3">
    <mergeCell ref="A1:I1"/>
    <mergeCell ref="A2:I2"/>
    <mergeCell ref="A13:I13"/>
  </mergeCells>
  <conditionalFormatting sqref="A5:I11">
    <cfRule type="expression" priority="2" aboveAverage="0" equalAverage="0" bottom="0" percent="0" rank="0" text="" dxfId="0">
      <formula>AND(H5&lt;&gt;"",ABS(I5)&gt;0.15*G5)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30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</row>
    <row r="5" customFormat="false" ht="15" hidden="false" customHeight="false" outlineLevel="0" collapsed="false">
      <c r="A5" s="4" t="s">
        <v>10</v>
      </c>
      <c r="B5" s="13" t="n">
        <f aca="false">IFERROR(VLOOKUP(A5,'Grille salariale'!$B$5:$D$11,3,FALSE()),"")</f>
        <v>1.5</v>
      </c>
      <c r="C5" s="6" t="n">
        <f aca="false">COUNTIF('Grille salariale'!$B$5:$B$11,A5)</f>
        <v>1</v>
      </c>
      <c r="D5" s="5" t="str">
        <f aca="false">IF(SUMPRODUCT(('Grille salariale'!$B$5:$B$11=A5)*ISNUMBER('Grille salariale'!$H$5:$H$11))=0,"",_xlfn.MINIFS('Grille salariale'!$H$5:$H$11,'Grille salariale'!$B$5:$B$11,A5))</f>
        <v/>
      </c>
      <c r="E5" s="5" t="str">
        <f aca="false">IF(SUMPRODUCT(('Grille salariale'!$B$5:$B$11=A5)*ISNUMBER('Grille salariale'!$H$5:$H$11))=0,"",_xlfn.MAXIFS('Grille salariale'!$H$5:$H$11,'Grille salariale'!$B$5:$B$11,A5))</f>
        <v/>
      </c>
      <c r="F5" s="19" t="str">
        <f aca="false">IF(OR(D5="",D5=0),"",(E5-D5)/D5)</f>
        <v/>
      </c>
    </row>
    <row r="6" customFormat="false" ht="15" hidden="false" customHeight="false" outlineLevel="0" collapsed="false">
      <c r="A6" s="7" t="s">
        <v>14</v>
      </c>
      <c r="B6" s="16" t="n">
        <f aca="false">IFERROR(VLOOKUP(A6,'Grille salariale'!$B$5:$D$11,3,FALSE()),"")</f>
        <v>2</v>
      </c>
      <c r="C6" s="9" t="n">
        <f aca="false">COUNTIF('Grille salariale'!$B$5:$B$11,A6)</f>
        <v>1</v>
      </c>
      <c r="D6" s="8" t="str">
        <f aca="false">IF(SUMPRODUCT(('Grille salariale'!$B$5:$B$11=A6)*ISNUMBER('Grille salariale'!$H$5:$H$11))=0,"",_xlfn.MINIFS('Grille salariale'!$H$5:$H$11,'Grille salariale'!$B$5:$B$11,A6))</f>
        <v/>
      </c>
      <c r="E6" s="8" t="str">
        <f aca="false">IF(SUMPRODUCT(('Grille salariale'!$B$5:$B$11=A6)*ISNUMBER('Grille salariale'!$H$5:$H$11))=0,"",_xlfn.MAXIFS('Grille salariale'!$H$5:$H$11,'Grille salariale'!$B$5:$B$11,A6))</f>
        <v/>
      </c>
      <c r="F6" s="20" t="str">
        <f aca="false">IF(OR(D6="",D6=0),"",(E6-D6)/D6)</f>
        <v/>
      </c>
    </row>
    <row r="7" customFormat="false" ht="15" hidden="false" customHeight="false" outlineLevel="0" collapsed="false">
      <c r="A7" s="4" t="s">
        <v>16</v>
      </c>
      <c r="B7" s="13" t="n">
        <f aca="false">IFERROR(VLOOKUP(A7,'Grille salariale'!$B$5:$D$11,3,FALSE()),"")</f>
        <v>4.5</v>
      </c>
      <c r="C7" s="6" t="n">
        <f aca="false">COUNTIF('Grille salariale'!$B$5:$B$11,A7)</f>
        <v>2</v>
      </c>
      <c r="D7" s="5" t="n">
        <f aca="false">IF(SUMPRODUCT(('Grille salariale'!$B$5:$B$11=A7)*ISNUMBER('Grille salariale'!$H$5:$H$11))=0,"",_xlfn.MINIFS('Grille salariale'!$H$5:$H$11,'Grille salariale'!$B$5:$B$11,A7))</f>
        <v>620</v>
      </c>
      <c r="E7" s="5" t="n">
        <f aca="false">IF(SUMPRODUCT(('Grille salariale'!$B$5:$B$11=A7)*ISNUMBER('Grille salariale'!$H$5:$H$11))=0,"",_xlfn.MAXIFS('Grille salariale'!$H$5:$H$11,'Grille salariale'!$B$5:$B$11,A7))</f>
        <v>950</v>
      </c>
      <c r="F7" s="19" t="n">
        <f aca="false">IF(OR(D7="",D7=0),"",(E7-D7)/D7)</f>
        <v>0.532258064516129</v>
      </c>
    </row>
    <row r="8" customFormat="false" ht="15" hidden="false" customHeight="false" outlineLevel="0" collapsed="false">
      <c r="A8" s="7" t="s">
        <v>19</v>
      </c>
      <c r="B8" s="16" t="n">
        <f aca="false">IFERROR(VLOOKUP(A8,'Grille salariale'!$B$5:$D$11,3,FALSE()),"")</f>
        <v>5</v>
      </c>
      <c r="C8" s="9" t="n">
        <f aca="false">COUNTIF('Grille salariale'!$B$5:$B$11,A8)</f>
        <v>1</v>
      </c>
      <c r="D8" s="8" t="str">
        <f aca="false">IF(SUMPRODUCT(('Grille salariale'!$B$5:$B$11=A8)*ISNUMBER('Grille salariale'!$H$5:$H$11))=0,"",_xlfn.MINIFS('Grille salariale'!$H$5:$H$11,'Grille salariale'!$B$5:$B$11,A8))</f>
        <v/>
      </c>
      <c r="E8" s="8" t="str">
        <f aca="false">IF(SUMPRODUCT(('Grille salariale'!$B$5:$B$11=A8)*ISNUMBER('Grille salariale'!$H$5:$H$11))=0,"",_xlfn.MAXIFS('Grille salariale'!$H$5:$H$11,'Grille salariale'!$B$5:$B$11,A8))</f>
        <v/>
      </c>
      <c r="F8" s="20" t="str">
        <f aca="false">IF(OR(D8="",D8=0),"",(E8-D8)/D8)</f>
        <v/>
      </c>
    </row>
    <row r="9" customFormat="false" ht="15" hidden="false" customHeight="false" outlineLevel="0" collapsed="false">
      <c r="A9" s="4" t="s">
        <v>20</v>
      </c>
      <c r="B9" s="13" t="n">
        <f aca="false">IFERROR(VLOOKUP(A9,'Grille salariale'!$B$5:$D$11,3,FALSE()),"")</f>
        <v>8</v>
      </c>
      <c r="C9" s="6" t="n">
        <f aca="false">COUNTIF('Grille salariale'!$B$5:$B$11,A9)</f>
        <v>1</v>
      </c>
      <c r="D9" s="5" t="str">
        <f aca="false">IF(SUMPRODUCT(('Grille salariale'!$B$5:$B$11=A9)*ISNUMBER('Grille salariale'!$H$5:$H$11))=0,"",_xlfn.MINIFS('Grille salariale'!$H$5:$H$11,'Grille salariale'!$B$5:$B$11,A9))</f>
        <v/>
      </c>
      <c r="E9" s="5" t="str">
        <f aca="false">IF(SUMPRODUCT(('Grille salariale'!$B$5:$B$11=A9)*ISNUMBER('Grille salariale'!$H$5:$H$11))=0,"",_xlfn.MAXIFS('Grille salariale'!$H$5:$H$11,'Grille salariale'!$B$5:$B$11,A9))</f>
        <v/>
      </c>
      <c r="F9" s="19" t="str">
        <f aca="false">IF(OR(D9="",D9=0),"",(E9-D9)/D9)</f>
        <v/>
      </c>
    </row>
    <row r="10" customFormat="false" ht="15" hidden="false" customHeight="false" outlineLevel="0" collapsed="false">
      <c r="A10" s="7" t="s">
        <v>24</v>
      </c>
      <c r="B10" s="16" t="n">
        <f aca="false">IFERROR(VLOOKUP(A10,'Grille salariale'!$B$5:$D$11,3,FALSE()),"")</f>
        <v>9.5</v>
      </c>
      <c r="C10" s="9" t="n">
        <f aca="false">COUNTIF('Grille salariale'!$B$5:$B$11,A10)</f>
        <v>1</v>
      </c>
      <c r="D10" s="8" t="str">
        <f aca="false">IF(SUMPRODUCT(('Grille salariale'!$B$5:$B$11=A10)*ISNUMBER('Grille salariale'!$H$5:$H$11))=0,"",_xlfn.MINIFS('Grille salariale'!$H$5:$H$11,'Grille salariale'!$B$5:$B$11,A10))</f>
        <v/>
      </c>
      <c r="E10" s="8" t="str">
        <f aca="false">IF(SUMPRODUCT(('Grille salariale'!$B$5:$B$11=A10)*ISNUMBER('Grille salariale'!$H$5:$H$11))=0,"",_xlfn.MAXIFS('Grille salariale'!$H$5:$H$11,'Grille salariale'!$B$5:$B$11,A10))</f>
        <v/>
      </c>
      <c r="F10" s="20" t="str">
        <f aca="false">IF(OR(D10="",D10=0),"",(E10-D10)/D10)</f>
        <v/>
      </c>
    </row>
    <row r="12" customFormat="false" ht="30" hidden="false" customHeight="true" outlineLevel="0" collapsed="false">
      <c r="A12" s="10" t="s">
        <v>52</v>
      </c>
      <c r="B12" s="10"/>
      <c r="C12" s="10"/>
      <c r="D12" s="10"/>
      <c r="E12" s="10"/>
      <c r="F12" s="10"/>
    </row>
  </sheetData>
  <mergeCells count="3">
    <mergeCell ref="A1:F1"/>
    <mergeCell ref="A2:F2"/>
    <mergeCell ref="A12:F12"/>
  </mergeCells>
  <conditionalFormatting sqref="A5:F10">
    <cfRule type="expression" priority="2" aboveAverage="0" equalAverage="0" bottom="0" percent="0" rank="0" text="" dxfId="0">
      <formula>AND(F5&lt;&gt;"",F5&gt;0.1)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2026-09-09T23:14:52Z</dcterms:created>
  <dc:creator>openpyxl</dc:creator>
  <dc:description/>
  <dc:language>fr-FR</dc:language>
  <cp:lastModifiedBy/>
  <dcterms:modified xsi:type="dcterms:W3CDTF">2026-09-09T23:14:52Z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