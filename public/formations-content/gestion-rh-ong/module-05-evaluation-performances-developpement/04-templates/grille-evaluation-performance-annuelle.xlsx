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aluation annuelle" sheetId="1" state="visible" r:id="rId3"/>
    <sheet name="Historique et tend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<sst xmlns="http://schemas.openxmlformats.org/spreadsheetml/2006/main" count="50" uniqueCount="43">
  <si>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GRILLE D'ÉVALUATION DE PERFORMANCE ANNUELLE</t>
  </si>
  <si>
    <t xml:space="preserve">Module 05 — Évaluation des Performances &amp; Développement des Compétences · BK-BOOST Ltd.</t>
  </si>
  <si>
    <t xml:space="preserve">Nom de l'employé</t>
  </si>
  <si>
    <t xml:space="preserve">Jean-Baptiste Étienne (exemple)</t>
  </si>
  <si>
    <t xml:space="preserve">Poste / Fonction</t>
  </si>
  <si>
    <t xml:space="preserve">Log Officer</t>
  </si>
  <si>
    <t xml:space="preserve">Évaluateur (superviseur)</t>
  </si>
  <si>
    <t xml:space="preserve">HR Manager de mission</t>
  </si>
  <si>
    <t xml:space="preserve">Année évaluée</t>
  </si>
  <si>
    <t xml:space="preserve">Date de l'entretien</t>
  </si>
  <si>
    <t xml:space="preserve">2026-01-20</t>
  </si>
  <si>
    <t xml:space="preserve">Mission / Base</t>
  </si>
  <si>
    <t xml:space="preserve">Haïti — Base de Port-au-Prince</t>
  </si>
  <si>
    <t xml:space="preserve">Échelle de notation (1 à 5) : 1 = Insuffisant · 2 = À améliorer · 3 = Conforme aux attentes · 4 = Dépasse les attentes · 5 = Exceptionnel</t>
  </si>
  <si>
    <t xml:space="preserve">Compétence / Objectif évalué</t>
  </si>
  <si>
    <t xml:space="preserve">Type</t>
  </si>
  <si>
    <t xml:space="preserve">Pondération (%)</t>
  </si>
  <si>
    <t xml:space="preserve">Auto-évaluation (/5)</t>
  </si>
  <si>
    <t xml:space="preserve">Éval. superviseur (/5)</t>
  </si>
  <si>
    <t xml:space="preserve">Note retenue (/5)</t>
  </si>
  <si>
    <t xml:space="preserve">Score pondéré</t>
  </si>
  <si>
    <t xml:space="preserve">Commentaire</t>
  </si>
  <si>
    <t xml:space="preserve">Qualité et fiabilité du travail livré</t>
  </si>
  <si>
    <t xml:space="preserve">Compétence</t>
  </si>
  <si>
    <t xml:space="preserve">Respect des délais et des priorités</t>
  </si>
  <si>
    <t xml:space="preserve">Leadership et gestion d'équipe</t>
  </si>
  <si>
    <t xml:space="preserve">Communication et coordination inter-services</t>
  </si>
  <si>
    <t xml:space="preserve">Respect des procédures et des principes humanitaires</t>
  </si>
  <si>
    <t xml:space="preserve">Objectif 1 de l'année écoulée (à personnaliser)</t>
  </si>
  <si>
    <t xml:space="preserve">Objectif</t>
  </si>
  <si>
    <t xml:space="preserve">Objectif 2 de l'année écoulée (à personnaliser)</t>
  </si>
  <si>
    <t xml:space="preserve">Objectif 3 de l'année écoulée (à personnaliser)</t>
  </si>
  <si>
    <t xml:space="preserve">TOTAL / SCORE GLOBAL PONDÉRÉ</t>
  </si>
  <si>
    <t xml:space="preserve">Évaluation globale (calculée automatiquement)</t>
  </si>
  <si>
    <t xml:space="preserve">HISTORIQUE DES ÉVALUATIONS &amp; TENDANCE</t>
  </si>
  <si>
    <t xml:space="preserve">Suivi de l'évolution du score global d'un même employé au fil des années. La ligne de l'année en cours est calculée automatiquement à partir de l'onglet Evaluation annuelle — ne pas modifier les formules.</t>
  </si>
  <si>
    <t xml:space="preserve">Année</t>
  </si>
  <si>
    <t xml:space="preserve">Poste occupé</t>
  </si>
  <si>
    <t xml:space="preserve">Score global pondéré (/5)</t>
  </si>
  <si>
    <t xml:space="preserve">Évaluation globale</t>
  </si>
  <si>
    <t xml:space="preserve">Évolution vs année précédente</t>
  </si>
  <si>
    <t xml:space="preserve">Log Officer, Base de Goma</t>
  </si>
  <si>
    <t xml:space="preserve">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</si>
</sst>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4785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ECFDF5"/>
        <bgColor rgb="FFFFFFFF"/>
      </patternFill>
    </fill>
    <fill>
      <patternFill patternType="solid">
        <fgColor rgb="FF047857"/>
        <bgColor rgb="FF008080"/>
      </patternFill>
    </fill>
    <fill>
      <patternFill patternType="solid">
        <fgColor rgb="FFFDE68A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/>
      <right style="thin">
        <color rgb="FFD1D5DB"/>
      </right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8" hidden="false" customHeight="true" outlineLevel="0" collapsed="false">
      <c r="A4" s="3" t="s">
        <v>2</v>
      </c>
      <c r="B4" s="4" t="s">
        <v>3</v>
      </c>
      <c r="C4" s="4"/>
      <c r="D4" s="3" t="s">
        <v>4</v>
      </c>
      <c r="E4" s="5" t="s">
        <v>5</v>
      </c>
      <c r="F4" s="5"/>
    </row>
    <row r="5" customFormat="false" ht="18" hidden="false" customHeight="true" outlineLevel="0" collapsed="false">
      <c r="A5" s="3" t="s">
        <v>6</v>
      </c>
      <c r="B5" s="4" t="s">
        <v>7</v>
      </c>
      <c r="C5" s="4"/>
      <c r="D5" s="3" t="s">
        <v>8</v>
      </c>
      <c r="E5" s="5" t="n">
        <v>2026</v>
      </c>
      <c r="F5" s="5"/>
    </row>
    <row r="6" customFormat="false" ht="18" hidden="false" customHeight="true" outlineLevel="0" collapsed="false">
      <c r="A6" s="3" t="s">
        <v>9</v>
      </c>
      <c r="B6" s="4" t="s">
        <v>10</v>
      </c>
      <c r="C6" s="4"/>
      <c r="D6" s="3" t="s">
        <v>11</v>
      </c>
      <c r="E6" s="5" t="s">
        <v>12</v>
      </c>
      <c r="F6" s="5"/>
    </row>
    <row r="7" customFormat="false" ht="6" hidden="false" customHeight="true" outlineLevel="0" collapsed="false"/>
    <row r="8" customFormat="false" ht="15" hidden="false" customHeight="true" outlineLevel="0" collapsed="false">
      <c r="A8" s="6" t="s">
        <v>13</v>
      </c>
      <c r="B8" s="6"/>
      <c r="C8" s="6"/>
      <c r="D8" s="6"/>
      <c r="E8" s="6"/>
      <c r="F8" s="6"/>
      <c r="G8" s="6"/>
      <c r="H8" s="6"/>
    </row>
    <row r="9" customFormat="false" ht="6" hidden="false" customHeight="true" outlineLevel="0" collapsed="false"/>
    <row r="10" customFormat="false" ht="31.5" hidden="false" customHeight="true" outlineLevel="0" collapsed="false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</row>
    <row r="11" customFormat="false" ht="30" hidden="false" customHeight="true" outlineLevel="0" collapsed="false">
      <c r="A11" s="8" t="s">
        <v>22</v>
      </c>
      <c r="B11" s="9" t="s">
        <v>23</v>
      </c>
      <c r="C11" s="10" t="n">
        <v>0.15</v>
      </c>
      <c r="D11" s="9" t="n">
        <v>4</v>
      </c>
      <c r="E11" s="9" t="n">
        <v>4</v>
      </c>
      <c r="F11" s="11" t="n">
        <f aca="false">IFERROR(D11*0.3+E11*0.7,"")</f>
        <v>4</v>
      </c>
      <c r="G11" s="11" t="n">
        <f aca="false">IFERROR(C11*F11,"")</f>
        <v>0.6</v>
      </c>
      <c r="H11" s="12"/>
    </row>
    <row r="12" customFormat="false" ht="30" hidden="false" customHeight="true" outlineLevel="0" collapsed="false">
      <c r="A12" s="13" t="s">
        <v>24</v>
      </c>
      <c r="B12" s="14" t="s">
        <v>23</v>
      </c>
      <c r="C12" s="15" t="n">
        <v>0.15</v>
      </c>
      <c r="D12" s="14" t="n">
        <v>4</v>
      </c>
      <c r="E12" s="14" t="n">
        <v>3</v>
      </c>
      <c r="F12" s="16" t="n">
        <f aca="false">IFERROR(D12*0.3+E12*0.7,"")</f>
        <v>3.3</v>
      </c>
      <c r="G12" s="16" t="n">
        <f aca="false">IFERROR(C12*F12,"")</f>
        <v>0.495</v>
      </c>
      <c r="H12" s="17"/>
    </row>
    <row r="13" customFormat="false" ht="30" hidden="false" customHeight="true" outlineLevel="0" collapsed="false">
      <c r="A13" s="8" t="s">
        <v>25</v>
      </c>
      <c r="B13" s="9" t="s">
        <v>23</v>
      </c>
      <c r="C13" s="10" t="n">
        <v>0.15</v>
      </c>
      <c r="D13" s="9" t="n">
        <v>5</v>
      </c>
      <c r="E13" s="9" t="n">
        <v>4</v>
      </c>
      <c r="F13" s="11" t="n">
        <f aca="false">IFERROR(D13*0.3+E13*0.7,"")</f>
        <v>4.3</v>
      </c>
      <c r="G13" s="11" t="n">
        <f aca="false">IFERROR(C13*F13,"")</f>
        <v>0.645</v>
      </c>
      <c r="H13" s="12"/>
    </row>
    <row r="14" customFormat="false" ht="30" hidden="false" customHeight="true" outlineLevel="0" collapsed="false">
      <c r="A14" s="13" t="s">
        <v>26</v>
      </c>
      <c r="B14" s="14" t="s">
        <v>23</v>
      </c>
      <c r="C14" s="15" t="n">
        <v>0.1</v>
      </c>
      <c r="D14" s="14" t="n">
        <v>4</v>
      </c>
      <c r="E14" s="14" t="n">
        <v>4</v>
      </c>
      <c r="F14" s="16" t="n">
        <f aca="false">IFERROR(D14*0.3+E14*0.7,"")</f>
        <v>4</v>
      </c>
      <c r="G14" s="16" t="n">
        <f aca="false">IFERROR(C14*F14,"")</f>
        <v>0.4</v>
      </c>
      <c r="H14" s="17"/>
    </row>
    <row r="15" customFormat="false" ht="30" hidden="false" customHeight="true" outlineLevel="0" collapsed="false">
      <c r="A15" s="8" t="s">
        <v>27</v>
      </c>
      <c r="B15" s="9" t="s">
        <v>23</v>
      </c>
      <c r="C15" s="10" t="n">
        <v>0.1</v>
      </c>
      <c r="D15" s="9" t="n">
        <v>5</v>
      </c>
      <c r="E15" s="9" t="n">
        <v>5</v>
      </c>
      <c r="F15" s="11" t="n">
        <f aca="false">IFERROR(D15*0.3+E15*0.7,"")</f>
        <v>5</v>
      </c>
      <c r="G15" s="11" t="n">
        <f aca="false">IFERROR(C15*F15,"")</f>
        <v>0.5</v>
      </c>
      <c r="H15" s="12"/>
    </row>
    <row r="16" customFormat="false" ht="30" hidden="false" customHeight="true" outlineLevel="0" collapsed="false">
      <c r="A16" s="13" t="s">
        <v>28</v>
      </c>
      <c r="B16" s="14" t="s">
        <v>29</v>
      </c>
      <c r="C16" s="15" t="n">
        <v>0.15</v>
      </c>
      <c r="D16" s="14" t="n">
        <v>4</v>
      </c>
      <c r="E16" s="14" t="n">
        <v>4</v>
      </c>
      <c r="F16" s="16" t="n">
        <f aca="false">IFERROR(D16*0.3+E16*0.7,"")</f>
        <v>4</v>
      </c>
      <c r="G16" s="16" t="n">
        <f aca="false">IFERROR(C16*F16,"")</f>
        <v>0.6</v>
      </c>
      <c r="H16" s="17"/>
    </row>
    <row r="17" customFormat="false" ht="30" hidden="false" customHeight="true" outlineLevel="0" collapsed="false">
      <c r="A17" s="8" t="s">
        <v>30</v>
      </c>
      <c r="B17" s="9" t="s">
        <v>29</v>
      </c>
      <c r="C17" s="10" t="n">
        <v>0.1</v>
      </c>
      <c r="D17" s="9" t="n">
        <v>3</v>
      </c>
      <c r="E17" s="9" t="n">
        <v>4</v>
      </c>
      <c r="F17" s="11" t="n">
        <f aca="false">IFERROR(D17*0.3+E17*0.7,"")</f>
        <v>3.7</v>
      </c>
      <c r="G17" s="11" t="n">
        <f aca="false">IFERROR(C17*F17,"")</f>
        <v>0.37</v>
      </c>
      <c r="H17" s="12"/>
    </row>
    <row r="18" customFormat="false" ht="30" hidden="false" customHeight="true" outlineLevel="0" collapsed="false">
      <c r="A18" s="13" t="s">
        <v>31</v>
      </c>
      <c r="B18" s="14" t="s">
        <v>29</v>
      </c>
      <c r="C18" s="15" t="n">
        <v>0.1</v>
      </c>
      <c r="D18" s="14" t="n">
        <v>4</v>
      </c>
      <c r="E18" s="14" t="n">
        <v>3</v>
      </c>
      <c r="F18" s="16" t="n">
        <f aca="false">IFERROR(D18*0.3+E18*0.7,"")</f>
        <v>3.3</v>
      </c>
      <c r="G18" s="16" t="n">
        <f aca="false">IFERROR(C18*F18,"")</f>
        <v>0.33</v>
      </c>
      <c r="H18" s="17"/>
    </row>
    <row r="19" customFormat="false" ht="19.5" hidden="false" customHeight="true" outlineLevel="0" collapsed="false">
      <c r="A19" s="18" t="s">
        <v>32</v>
      </c>
      <c r="B19" s="18"/>
      <c r="C19" s="19" t="n">
        <f aca="false">SUM(C11:C18)</f>
        <v>1</v>
      </c>
      <c r="D19" s="18"/>
      <c r="E19" s="18"/>
      <c r="F19" s="18"/>
      <c r="G19" s="20" t="n">
        <f aca="false">SUM(G11:G18)</f>
        <v>3.94</v>
      </c>
      <c r="H19" s="18"/>
    </row>
    <row r="21" customFormat="false" ht="19.5" hidden="false" customHeight="true" outlineLevel="0" collapsed="false">
      <c r="A21" s="21" t="s">
        <v>33</v>
      </c>
      <c r="B21" s="21"/>
      <c r="C21" s="21"/>
      <c r="D21" s="21"/>
      <c r="E21" s="22" t="str">
        <f aca="false">IF(C19&lt;&gt;1,"Vérifier la pondération (doit totaliser 100%)",IF(G19&gt;=4.5,"Exceptionnel",IF(G19&gt;=3.5,"Dépasse les attentes",IF(G19&gt;=2.5,"Conforme aux attentes",IF(G19&gt;=1.5,"À améliorer","Insuffisant")))))</f>
        <v>Dépasse les attentes</v>
      </c>
      <c r="F21" s="22"/>
      <c r="G21" s="22"/>
      <c r="H21" s="22"/>
    </row>
  </sheetData>
  <mergeCells count="12">
    <mergeCell ref="A1:H1"/>
    <mergeCell ref="A2:H2"/>
    <mergeCell ref="B4:C4"/>
    <mergeCell ref="E4:F4"/>
    <mergeCell ref="B5:C5"/>
    <mergeCell ref="E5:F5"/>
    <mergeCell ref="B6:C6"/>
    <mergeCell ref="E6:F6"/>
    <mergeCell ref="A8:H8"/>
    <mergeCell ref="A19:B19"/>
    <mergeCell ref="A21:D21"/>
    <mergeCell ref="E21:H21"/>
  </mergeCells>
  <dataValidations count="2">
    <dataValidation allowBlank="true" errorStyle="stop" operator="between" showDropDown="false" showErrorMessage="false" showInputMessage="false" sqref="B11:B18" type="list">
      <formula1>"Compétence,Objectif"</formula1>
      <formula2>0</formula2>
    </dataValidation>
    <dataValidation allowBlank="true" errorStyle="stop" operator="between" showDropDown="false" showErrorMessage="false" showInputMessage="false" sqref="D11:E18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2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</row>
    <row r="2" customFormat="false" ht="27.75" hidden="false" customHeight="true" outlineLevel="0" collapsed="false">
      <c r="A2" s="23" t="s">
        <v>35</v>
      </c>
      <c r="B2" s="23"/>
      <c r="C2" s="23"/>
      <c r="D2" s="23"/>
      <c r="E2" s="23"/>
    </row>
    <row r="3" customFormat="false" ht="6" hidden="false" customHeight="true" outlineLevel="0" collapsed="false"/>
    <row r="4" customFormat="false" ht="30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</row>
    <row r="5" customFormat="false" ht="19.5" hidden="false" customHeight="true" outlineLevel="0" collapsed="false">
      <c r="A5" s="9" t="n">
        <v>2024</v>
      </c>
      <c r="B5" s="24" t="s">
        <v>41</v>
      </c>
      <c r="C5" s="11" t="n">
        <v>3.2</v>
      </c>
      <c r="D5" s="9" t="str">
        <f aca="false">IF(C5&gt;=4.5,"Exceptionnel",IF(C5&gt;=3.5,"Dépasse les attentes",IF(C5&gt;=2.5,"Conforme aux attentes",IF(C5&gt;=1.5,"À améliorer","Insuffisant"))))</f>
        <v>Conforme aux attentes</v>
      </c>
      <c r="E5" s="9" t="s">
        <v>42</v>
      </c>
    </row>
    <row r="6" customFormat="false" ht="19.5" hidden="false" customHeight="true" outlineLevel="0" collapsed="false">
      <c r="A6" s="9" t="n">
        <v>2025</v>
      </c>
      <c r="B6" s="24" t="s">
        <v>41</v>
      </c>
      <c r="C6" s="11" t="n">
        <v>3.6</v>
      </c>
      <c r="D6" s="9" t="str">
        <f aca="false">IF(C6&gt;=4.5,"Exceptionnel",IF(C6&gt;=3.5,"Dépasse les attentes",IF(C6&gt;=2.5,"Conforme aux attentes",IF(C6&gt;=1.5,"À améliorer","Insuffisant"))))</f>
        <v>Dépasse les attentes</v>
      </c>
      <c r="E6" s="9" t="n">
        <f aca="false">IF(C5="","",ROUND(C6-C5,2))</f>
        <v>0.4</v>
      </c>
    </row>
    <row r="7" customFormat="false" ht="19.5" hidden="false" customHeight="true" outlineLevel="0" collapsed="false">
      <c r="A7" s="25" t="n">
        <f aca="false">'Evaluation annuelle'!E5</f>
        <v>2026</v>
      </c>
      <c r="B7" s="26" t="str">
        <f aca="false">'Evaluation annuelle'!E4&amp;" – "&amp;'Evaluation annuelle'!E6</f>
        <v>Log Officer – Haïti — Base de Port-au-Prince</v>
      </c>
      <c r="C7" s="27" t="n">
        <f aca="false">'Evaluation annuelle'!G19</f>
        <v>3.94</v>
      </c>
      <c r="D7" s="25" t="str">
        <f aca="false">'Evaluation annuelle'!E21</f>
        <v>Dépasse les attentes</v>
      </c>
      <c r="E7" s="25" t="n">
        <f aca="false">IF(C6="","",ROUND(C7-C6,2))</f>
        <v>0.34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2026-09-09T23:13:44Z</dcterms:created>
  <dc:creator>openpyxl</dc:creator>
  <dc:description/>
  <dc:language>fr-FR</dc:language>
  <cp:lastModifiedBy/>
  <dcterms:modified xsi:type="dcterms:W3CDTF">2026-09-09T23:13:44Z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