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hecklist Conformite" sheetId="1" state="visible" r:id="rId3"/>
    <sheet name="Tableau de bord equip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<sst xmlns="http://schemas.openxmlformats.org/spreadsheetml/2006/main" count="70" uniqueCount="57">
  <si>
    <t xml:space="preserve">CHECKLIST DE CONFORMITE AU CODE DU TRAVAIL RDC</t>
  </si>
  <si>
    <t xml:space="preserve">Formation en Gestion des Ressources Humaines d'une ONG Humanitaire · Module 06 · BK-BOOST Ltd.</t>
  </si>
  <si>
    <t xml:space="preserve">A completer et mettre a jour chaque mois, employe par employe. Ne modifiez jamais les colonnes de calcul automatique (fond gris clair).</t>
  </si>
  <si>
    <t xml:space="preserve">Nom de l'employe</t>
  </si>
  <si>
    <t xml:space="preserve">Fonction</t>
  </si>
  <si>
    <t xml:space="preserve">Base / Zone</t>
  </si>
  <si>
    <t xml:space="preserve">Conges legaux dus (jours, periode)</t>
  </si>
  <si>
    <t xml:space="preserve">Conges legaux pris (jours)</t>
  </si>
  <si>
    <t xml:space="preserve">Solde de conges</t>
  </si>
  <si>
    <t xml:space="preserve">Statut conges</t>
  </si>
  <si>
    <t xml:space="preserve">Heures sup. effectuees (periode)</t>
  </si>
  <si>
    <t xml:space="preserve">Heures sup. compensees (payees/recuperees)</t>
  </si>
  <si>
    <t xml:space="preserve">Statut heures sup.</t>
  </si>
  <si>
    <t xml:space="preserve">Derniere cotisation sociale versee (date)</t>
  </si>
  <si>
    <t xml:space="preserve">Cotisation sociale a jour (&lt; 35 jours) ?</t>
  </si>
  <si>
    <t xml:space="preserve">Statut cotisations</t>
  </si>
  <si>
    <t xml:space="preserve">STATUT GLOBAL EMPLOYE</t>
  </si>
  <si>
    <t xml:space="preserve">Commentaire / action corrective</t>
  </si>
  <si>
    <t xml:space="preserve">Kambale Mwenge, J.</t>
  </si>
  <si>
    <t xml:space="preserve">Infirmier(e)</t>
  </si>
  <si>
    <t xml:space="preserve">Goma, Nord-Kivu</t>
  </si>
  <si>
    <t xml:space="preserve">2026-08-25</t>
  </si>
  <si>
    <t xml:space="preserve">Furaha Balegamire, C.</t>
  </si>
  <si>
    <t xml:space="preserve">Superviseur logistique</t>
  </si>
  <si>
    <t xml:space="preserve">Beni, Nord-Kivu</t>
  </si>
  <si>
    <t xml:space="preserve">Mapenzi Kavira, S.</t>
  </si>
  <si>
    <t xml:space="preserve">Agent de sante communautaire</t>
  </si>
  <si>
    <t xml:space="preserve">Bunia, Ituri</t>
  </si>
  <si>
    <t xml:space="preserve">Tshisekedi Ilunga, P.</t>
  </si>
  <si>
    <t xml:space="preserve">Chauffeur</t>
  </si>
  <si>
    <t xml:space="preserve">Nzuzi Mavambu, A.</t>
  </si>
  <si>
    <t xml:space="preserve">Gardien</t>
  </si>
  <si>
    <t xml:space="preserve">2026-05-12</t>
  </si>
  <si>
    <t xml:space="preserve">Kalonji Mbuyi, D.</t>
  </si>
  <si>
    <t xml:space="preserve">Assistant administratif</t>
  </si>
  <si>
    <t xml:space="preserve">Kahindo Muhindo, E.</t>
  </si>
  <si>
    <t xml:space="preserve">Bahati Ntale, R.</t>
  </si>
  <si>
    <t xml:space="preserve">Technicien WASH</t>
  </si>
  <si>
    <t xml:space="preserve">2026-07-01</t>
  </si>
  <si>
    <t xml:space="preserve">Kasongo Wa Ilunga, M.</t>
  </si>
  <si>
    <t xml:space="preserve">Comptable base</t>
  </si>
  <si>
    <t xml:space="preserve">Legende : Statut = "Conforme" (fond vert) si le point est respecte pour la periode ; "A corriger" (fond rouge) si une action corrective est necessaire ; "Incomplet" si des donnees manquent.</t>
  </si>
  <si>
    <t xml:space="preserve">TABLEAU DE BORD DE CONFORMITE - EQUIPE</t>
  </si>
  <si>
    <t xml:space="preserve">Calcule automatiquement a partir de l'onglet Checklist Conformite — ne pas modifier les formules.</t>
  </si>
  <si>
    <t xml:space="preserve">Indicateur</t>
  </si>
  <si>
    <t xml:space="preserve">Valeur</t>
  </si>
  <si>
    <t xml:space="preserve">Nombre total d'employes suivis</t>
  </si>
  <si>
    <t xml:space="preserve">Employes CONFORME (les 3 points)</t>
  </si>
  <si>
    <t xml:space="preserve">Employes A CORRIGER</t>
  </si>
  <si>
    <t xml:space="preserve">Dossiers incomplets</t>
  </si>
  <si>
    <t xml:space="preserve">Taux de conformite global</t>
  </si>
  <si>
    <t xml:space="preserve">Repartition par point de conformite (nombre d'employes 'A corriger')</t>
  </si>
  <si>
    <t xml:space="preserve">Point de conformite</t>
  </si>
  <si>
    <t xml:space="preserve">Nb. employes 'A corriger'</t>
  </si>
  <si>
    <t xml:space="preserve">Conges legaux</t>
  </si>
  <si>
    <t xml:space="preserve">Heures supplementaires</t>
  </si>
  <si>
    <t xml:space="preserve">Cotisations sociales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</si>
</sst>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 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E3A8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65F46"/>
      </patternFill>
    </fill>
    <fill>
      <patternFill patternType="solid">
        <fgColor rgb="FFF3F4F6"/>
        <bgColor rgb="FFEFF6FF"/>
      </patternFill>
    </fill>
    <fill>
      <patternFill patternType="solid">
        <fgColor rgb="FFF9FAFB"/>
        <bgColor rgb="FFFFFFFF"/>
      </patternFill>
    </fill>
    <fill>
      <patternFill patternType="solid">
        <fgColor rgb="FFEFF6FF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EF2F2"/>
        </patternFill>
      </fill>
    </dxf>
    <dxf>
      <fill>
        <patternFill>
          <bgColor rgb="FFECFDF5"/>
        </patternFill>
      </fill>
    </dxf>
    <dxf>
      <font>
        <name val="Arial"/>
        <charset val="1"/>
        <family val="0"/>
        <b val="1"/>
        <color rgb="FF7F1D1D"/>
      </font>
      <fill>
        <patternFill>
          <bgColor rgb="FFFCA5A5"/>
        </patternFill>
      </fill>
    </dxf>
    <dxf>
      <font>
        <name val="Arial"/>
        <charset val="1"/>
        <family val="0"/>
        <b val="1"/>
        <color rgb="FF065F46"/>
      </font>
      <fill>
        <patternFill>
          <bgColor rgb="FF6EE7B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2F2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FF6FF"/>
      <rgbColor rgb="FFF3F4F6"/>
      <rgbColor rgb="FFF9FAFB"/>
      <rgbColor rgb="FF99CCFF"/>
      <rgbColor rgb="FFFCA5A5"/>
      <rgbColor rgb="FFCC99FF"/>
      <rgbColor rgb="FFFFCC99"/>
      <rgbColor rgb="FF3366FF"/>
      <rgbColor rgb="FF6EE7B7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7F1D1D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4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customFormat="false" ht="19.5" hidden="false" customHeight="true" outlineLevel="0" collapsed="false">
      <c r="A5" s="5" t="s">
        <v>18</v>
      </c>
      <c r="B5" s="5" t="s">
        <v>19</v>
      </c>
      <c r="C5" s="5" t="s">
        <v>20</v>
      </c>
      <c r="D5" s="5" t="n">
        <v>12</v>
      </c>
      <c r="E5" s="5" t="n">
        <v>10</v>
      </c>
      <c r="F5" s="6" t="n">
        <f aca="false">IF(OR(D5="",E5=""),"",D5-E5)</f>
        <v>2</v>
      </c>
      <c r="G5" s="6" t="str">
        <f aca="false">IF(OR(D5="",E5=""),"",IF(F5&lt;0,"A corriger","Conforme"))</f>
        <v>Conforme</v>
      </c>
      <c r="H5" s="5" t="n">
        <v>0</v>
      </c>
      <c r="I5" s="5" t="n">
        <v>0</v>
      </c>
      <c r="J5" s="6" t="str">
        <f aca="false">IF(H5="","",IF(H5=0,"Conforme",IF(I5&gt;=H5,"Conforme","A corriger")))</f>
        <v>Conforme</v>
      </c>
      <c r="K5" s="5" t="s">
        <v>21</v>
      </c>
      <c r="L5" s="6" t="str">
        <f aca="true">IF(K5="","",IF((TODAY()-DATEVALUE(K5))&lt;=35,"Oui","Non"))</f>
        <v>Oui</v>
      </c>
      <c r="M5" s="6" t="str">
        <f aca="false">IF(L5="","",IF(L5="Oui","Conforme","A corriger"))</f>
        <v>Conforme</v>
      </c>
      <c r="N5" s="7" t="str">
        <f aca="false">IF(OR(G5="",J5="",M5=""),"Incomplet",IF(AND(G5="Conforme",J5="Conforme",M5="Conforme"),"CONFORME","A CORRIGER"))</f>
        <v>CONFORME</v>
      </c>
      <c r="O5" s="5"/>
    </row>
    <row r="6" customFormat="false" ht="19.5" hidden="false" customHeight="true" outlineLevel="0" collapsed="false">
      <c r="A6" s="8" t="s">
        <v>22</v>
      </c>
      <c r="B6" s="8" t="s">
        <v>23</v>
      </c>
      <c r="C6" s="8" t="s">
        <v>24</v>
      </c>
      <c r="D6" s="8" t="n">
        <v>12</v>
      </c>
      <c r="E6" s="8" t="n">
        <v>4</v>
      </c>
      <c r="F6" s="6" t="n">
        <f aca="false">IF(OR(D6="",E6=""),"",D6-E6)</f>
        <v>8</v>
      </c>
      <c r="G6" s="6" t="str">
        <f aca="false">IF(OR(D6="",E6=""),"",IF(F6&lt;0,"A corriger","Conforme"))</f>
        <v>Conforme</v>
      </c>
      <c r="H6" s="8" t="n">
        <v>18</v>
      </c>
      <c r="I6" s="8" t="n">
        <v>10</v>
      </c>
      <c r="J6" s="6" t="str">
        <f aca="false">IF(H6="","",IF(H6=0,"Conforme",IF(I6&gt;=H6,"Conforme","A corriger")))</f>
        <v>A corriger</v>
      </c>
      <c r="K6" s="8" t="s">
        <v>21</v>
      </c>
      <c r="L6" s="6" t="str">
        <f aca="true">IF(K6="","",IF((TODAY()-DATEVALUE(K6))&lt;=35,"Oui","Non"))</f>
        <v>Oui</v>
      </c>
      <c r="M6" s="6" t="str">
        <f aca="false">IF(L6="","",IF(L6="Oui","Conforme","A corriger"))</f>
        <v>Conforme</v>
      </c>
      <c r="N6" s="7" t="str">
        <f aca="false">IF(OR(G6="",J6="",M6=""),"Incomplet",IF(AND(G6="Conforme",J6="Conforme",M6="Conforme"),"CONFORME","A CORRIGER"))</f>
        <v>A CORRIGER</v>
      </c>
      <c r="O6" s="8"/>
    </row>
    <row r="7" customFormat="false" ht="19.5" hidden="false" customHeight="true" outlineLevel="0" collapsed="false">
      <c r="A7" s="5" t="s">
        <v>25</v>
      </c>
      <c r="B7" s="5" t="s">
        <v>26</v>
      </c>
      <c r="C7" s="5" t="s">
        <v>27</v>
      </c>
      <c r="D7" s="5" t="n">
        <v>12</v>
      </c>
      <c r="E7" s="5" t="n">
        <v>12</v>
      </c>
      <c r="F7" s="6" t="n">
        <f aca="false">IF(OR(D7="",E7=""),"",D7-E7)</f>
        <v>0</v>
      </c>
      <c r="G7" s="6" t="str">
        <f aca="false">IF(OR(D7="",E7=""),"",IF(F7&lt;0,"A corriger","Conforme"))</f>
        <v>Conforme</v>
      </c>
      <c r="H7" s="5" t="n">
        <v>0</v>
      </c>
      <c r="I7" s="5" t="n">
        <v>0</v>
      </c>
      <c r="J7" s="6" t="str">
        <f aca="false">IF(H7="","",IF(H7=0,"Conforme",IF(I7&gt;=H7,"Conforme","A corriger")))</f>
        <v>Conforme</v>
      </c>
      <c r="K7" s="5" t="s">
        <v>21</v>
      </c>
      <c r="L7" s="6" t="str">
        <f aca="true">IF(K7="","",IF((TODAY()-DATEVALUE(K7))&lt;=35,"Oui","Non"))</f>
        <v>Oui</v>
      </c>
      <c r="M7" s="6" t="str">
        <f aca="false">IF(L7="","",IF(L7="Oui","Conforme","A corriger"))</f>
        <v>Conforme</v>
      </c>
      <c r="N7" s="7" t="str">
        <f aca="false">IF(OR(G7="",J7="",M7=""),"Incomplet",IF(AND(G7="Conforme",J7="Conforme",M7="Conforme"),"CONFORME","A CORRIGER"))</f>
        <v>CONFORME</v>
      </c>
      <c r="O7" s="5"/>
    </row>
    <row r="8" customFormat="false" ht="19.5" hidden="false" customHeight="true" outlineLevel="0" collapsed="false">
      <c r="A8" s="8" t="s">
        <v>28</v>
      </c>
      <c r="B8" s="8" t="s">
        <v>29</v>
      </c>
      <c r="C8" s="8" t="s">
        <v>20</v>
      </c>
      <c r="D8" s="8" t="n">
        <v>12</v>
      </c>
      <c r="E8" s="8" t="n">
        <v>2</v>
      </c>
      <c r="F8" s="6" t="n">
        <f aca="false">IF(OR(D8="",E8=""),"",D8-E8)</f>
        <v>10</v>
      </c>
      <c r="G8" s="6" t="str">
        <f aca="false">IF(OR(D8="",E8=""),"",IF(F8&lt;0,"A corriger","Conforme"))</f>
        <v>Conforme</v>
      </c>
      <c r="H8" s="8" t="n">
        <v>0</v>
      </c>
      <c r="I8" s="8" t="n">
        <v>0</v>
      </c>
      <c r="J8" s="6" t="str">
        <f aca="false">IF(H8="","",IF(H8=0,"Conforme",IF(I8&gt;=H8,"Conforme","A corriger")))</f>
        <v>Conforme</v>
      </c>
      <c r="K8" s="8" t="s">
        <v>21</v>
      </c>
      <c r="L8" s="6" t="str">
        <f aca="true">IF(K8="","",IF((TODAY()-DATEVALUE(K8))&lt;=35,"Oui","Non"))</f>
        <v>Oui</v>
      </c>
      <c r="M8" s="6" t="str">
        <f aca="false">IF(L8="","",IF(L8="Oui","Conforme","A corriger"))</f>
        <v>Conforme</v>
      </c>
      <c r="N8" s="7" t="str">
        <f aca="false">IF(OR(G8="",J8="",M8=""),"Incomplet",IF(AND(G8="Conforme",J8="Conforme",M8="Conforme"),"CONFORME","A CORRIGER"))</f>
        <v>CONFORME</v>
      </c>
      <c r="O8" s="8"/>
    </row>
    <row r="9" customFormat="false" ht="19.5" hidden="false" customHeight="true" outlineLevel="0" collapsed="false">
      <c r="A9" s="5" t="s">
        <v>30</v>
      </c>
      <c r="B9" s="5" t="s">
        <v>31</v>
      </c>
      <c r="C9" s="5" t="s">
        <v>24</v>
      </c>
      <c r="D9" s="5" t="n">
        <v>12</v>
      </c>
      <c r="E9" s="5" t="n">
        <v>6</v>
      </c>
      <c r="F9" s="6" t="n">
        <f aca="false">IF(OR(D9="",E9=""),"",D9-E9)</f>
        <v>6</v>
      </c>
      <c r="G9" s="6" t="str">
        <f aca="false">IF(OR(D9="",E9=""),"",IF(F9&lt;0,"A corriger","Conforme"))</f>
        <v>Conforme</v>
      </c>
      <c r="H9" s="5" t="n">
        <v>0</v>
      </c>
      <c r="I9" s="5" t="n">
        <v>0</v>
      </c>
      <c r="J9" s="6" t="str">
        <f aca="false">IF(H9="","",IF(H9=0,"Conforme",IF(I9&gt;=H9,"Conforme","A corriger")))</f>
        <v>Conforme</v>
      </c>
      <c r="K9" s="5" t="s">
        <v>32</v>
      </c>
      <c r="L9" s="6" t="str">
        <f aca="true">IF(K9="","",IF((TODAY()-DATEVALUE(K9))&lt;=35,"Oui","Non"))</f>
        <v>Non</v>
      </c>
      <c r="M9" s="6" t="str">
        <f aca="false">IF(L9="","",IF(L9="Oui","Conforme","A corriger"))</f>
        <v>A corriger</v>
      </c>
      <c r="N9" s="7" t="str">
        <f aca="false">IF(OR(G9="",J9="",M9=""),"Incomplet",IF(AND(G9="Conforme",J9="Conforme",M9="Conforme"),"CONFORME","A CORRIGER"))</f>
        <v>A CORRIGER</v>
      </c>
      <c r="O9" s="5"/>
    </row>
    <row r="10" customFormat="false" ht="19.5" hidden="false" customHeight="true" outlineLevel="0" collapsed="false">
      <c r="A10" s="8" t="s">
        <v>33</v>
      </c>
      <c r="B10" s="8" t="s">
        <v>34</v>
      </c>
      <c r="C10" s="8" t="s">
        <v>27</v>
      </c>
      <c r="D10" s="8" t="n">
        <v>12</v>
      </c>
      <c r="E10" s="8" t="n">
        <v>12</v>
      </c>
      <c r="F10" s="6" t="n">
        <f aca="false">IF(OR(D10="",E10=""),"",D10-E10)</f>
        <v>0</v>
      </c>
      <c r="G10" s="6" t="str">
        <f aca="false">IF(OR(D10="",E10=""),"",IF(F10&lt;0,"A corriger","Conforme"))</f>
        <v>Conforme</v>
      </c>
      <c r="H10" s="8" t="n">
        <v>0</v>
      </c>
      <c r="I10" s="8" t="n">
        <v>0</v>
      </c>
      <c r="J10" s="6" t="str">
        <f aca="false">IF(H10="","",IF(H10=0,"Conforme",IF(I10&gt;=H10,"Conforme","A corriger")))</f>
        <v>Conforme</v>
      </c>
      <c r="K10" s="8" t="s">
        <v>21</v>
      </c>
      <c r="L10" s="6" t="str">
        <f aca="true">IF(K10="","",IF((TODAY()-DATEVALUE(K10))&lt;=35,"Oui","Non"))</f>
        <v>Oui</v>
      </c>
      <c r="M10" s="6" t="str">
        <f aca="false">IF(L10="","",IF(L10="Oui","Conforme","A corriger"))</f>
        <v>Conforme</v>
      </c>
      <c r="N10" s="7" t="str">
        <f aca="false">IF(OR(G10="",J10="",M10=""),"Incomplet",IF(AND(G10="Conforme",J10="Conforme",M10="Conforme"),"CONFORME","A CORRIGER"))</f>
        <v>CONFORME</v>
      </c>
      <c r="O10" s="8"/>
    </row>
    <row r="11" customFormat="false" ht="19.5" hidden="false" customHeight="true" outlineLevel="0" collapsed="false">
      <c r="A11" s="5" t="s">
        <v>35</v>
      </c>
      <c r="B11" s="5" t="s">
        <v>19</v>
      </c>
      <c r="C11" s="5" t="s">
        <v>20</v>
      </c>
      <c r="D11" s="5" t="n">
        <v>12</v>
      </c>
      <c r="E11" s="5" t="n">
        <v>8</v>
      </c>
      <c r="F11" s="6" t="n">
        <f aca="false">IF(OR(D11="",E11=""),"",D11-E11)</f>
        <v>4</v>
      </c>
      <c r="G11" s="6" t="str">
        <f aca="false">IF(OR(D11="",E11=""),"",IF(F11&lt;0,"A corriger","Conforme"))</f>
        <v>Conforme</v>
      </c>
      <c r="H11" s="5" t="n">
        <v>22</v>
      </c>
      <c r="I11" s="5" t="n">
        <v>0</v>
      </c>
      <c r="J11" s="6" t="str">
        <f aca="false">IF(H11="","",IF(H11=0,"Conforme",IF(I11&gt;=H11,"Conforme","A corriger")))</f>
        <v>A corriger</v>
      </c>
      <c r="K11" s="5" t="s">
        <v>21</v>
      </c>
      <c r="L11" s="6" t="str">
        <f aca="true">IF(K11="","",IF((TODAY()-DATEVALUE(K11))&lt;=35,"Oui","Non"))</f>
        <v>Oui</v>
      </c>
      <c r="M11" s="6" t="str">
        <f aca="false">IF(L11="","",IF(L11="Oui","Conforme","A corriger"))</f>
        <v>Conforme</v>
      </c>
      <c r="N11" s="7" t="str">
        <f aca="false">IF(OR(G11="",J11="",M11=""),"Incomplet",IF(AND(G11="Conforme",J11="Conforme",M11="Conforme"),"CONFORME","A CORRIGER"))</f>
        <v>A CORRIGER</v>
      </c>
      <c r="O11" s="5"/>
    </row>
    <row r="12" customFormat="false" ht="19.5" hidden="false" customHeight="true" outlineLevel="0" collapsed="false">
      <c r="A12" s="8" t="s">
        <v>36</v>
      </c>
      <c r="B12" s="8" t="s">
        <v>37</v>
      </c>
      <c r="C12" s="8" t="s">
        <v>24</v>
      </c>
      <c r="D12" s="8" t="n">
        <v>12</v>
      </c>
      <c r="E12" s="8" t="n">
        <v>3</v>
      </c>
      <c r="F12" s="6" t="n">
        <f aca="false">IF(OR(D12="",E12=""),"",D12-E12)</f>
        <v>9</v>
      </c>
      <c r="G12" s="6" t="str">
        <f aca="false">IF(OR(D12="",E12=""),"",IF(F12&lt;0,"A corriger","Conforme"))</f>
        <v>Conforme</v>
      </c>
      <c r="H12" s="8" t="n">
        <v>0</v>
      </c>
      <c r="I12" s="8" t="n">
        <v>0</v>
      </c>
      <c r="J12" s="6" t="str">
        <f aca="false">IF(H12="","",IF(H12=0,"Conforme",IF(I12&gt;=H12,"Conforme","A corriger")))</f>
        <v>Conforme</v>
      </c>
      <c r="K12" s="8" t="s">
        <v>38</v>
      </c>
      <c r="L12" s="6" t="str">
        <f aca="true">IF(K12="","",IF((TODAY()-DATEVALUE(K12))&lt;=35,"Oui","Non"))</f>
        <v>Non</v>
      </c>
      <c r="M12" s="6" t="str">
        <f aca="false">IF(L12="","",IF(L12="Oui","Conforme","A corriger"))</f>
        <v>A corriger</v>
      </c>
      <c r="N12" s="7" t="str">
        <f aca="false">IF(OR(G12="",J12="",M12=""),"Incomplet",IF(AND(G12="Conforme",J12="Conforme",M12="Conforme"),"CONFORME","A CORRIGER"))</f>
        <v>A CORRIGER</v>
      </c>
      <c r="O12" s="8"/>
    </row>
    <row r="13" customFormat="false" ht="19.5" hidden="false" customHeight="true" outlineLevel="0" collapsed="false">
      <c r="A13" s="5" t="s">
        <v>39</v>
      </c>
      <c r="B13" s="5" t="s">
        <v>40</v>
      </c>
      <c r="C13" s="5" t="s">
        <v>27</v>
      </c>
      <c r="D13" s="5" t="n">
        <v>12</v>
      </c>
      <c r="E13" s="5" t="n">
        <v>5</v>
      </c>
      <c r="F13" s="6" t="n">
        <f aca="false">IF(OR(D13="",E13=""),"",D13-E13)</f>
        <v>7</v>
      </c>
      <c r="G13" s="6" t="str">
        <f aca="false">IF(OR(D13="",E13=""),"",IF(F13&lt;0,"A corriger","Conforme"))</f>
        <v>Conforme</v>
      </c>
      <c r="H13" s="5" t="n">
        <v>4</v>
      </c>
      <c r="I13" s="5" t="n">
        <v>4</v>
      </c>
      <c r="J13" s="6" t="str">
        <f aca="false">IF(H13="","",IF(H13=0,"Conforme",IF(I13&gt;=H13,"Conforme","A corriger")))</f>
        <v>Conforme</v>
      </c>
      <c r="K13" s="5" t="s">
        <v>21</v>
      </c>
      <c r="L13" s="6" t="str">
        <f aca="true">IF(K13="","",IF((TODAY()-DATEVALUE(K13))&lt;=35,"Oui","Non"))</f>
        <v>Oui</v>
      </c>
      <c r="M13" s="6" t="str">
        <f aca="false">IF(L13="","",IF(L13="Oui","Conforme","A corriger"))</f>
        <v>Conforme</v>
      </c>
      <c r="N13" s="7" t="str">
        <f aca="false">IF(OR(G13="",J13="",M13=""),"Incomplet",IF(AND(G13="Conforme",J13="Conforme",M13="Conforme"),"CONFORME","A CORRIGER"))</f>
        <v>CONFORME</v>
      </c>
      <c r="O13" s="5"/>
    </row>
    <row r="14" customFormat="false" ht="19.5" hidden="false" customHeight="true" outlineLevel="0" collapsed="false">
      <c r="A14" s="8"/>
      <c r="B14" s="8"/>
      <c r="C14" s="8"/>
      <c r="D14" s="8"/>
      <c r="E14" s="8"/>
      <c r="F14" s="6" t="str">
        <f aca="false">IF(OR(D14="",E14=""),"",D14-E14)</f>
        <v/>
      </c>
      <c r="G14" s="6" t="str">
        <f aca="false">IF(OR(D14="",E14=""),"",IF(F14&lt;0,"A corriger","Conforme"))</f>
        <v/>
      </c>
      <c r="H14" s="8"/>
      <c r="I14" s="8"/>
      <c r="J14" s="6" t="str">
        <f aca="false">IF(H14="","",IF(H14=0,"Conforme",IF(I14&gt;=H14,"Conforme","A corriger")))</f>
        <v/>
      </c>
      <c r="K14" s="8"/>
      <c r="L14" s="6" t="str">
        <f aca="true">IF(K14="","",IF((TODAY()-DATEVALUE(K14))&lt;=35,"Oui","Non"))</f>
        <v/>
      </c>
      <c r="M14" s="6" t="str">
        <f aca="false">IF(L14="","",IF(L14="Oui","Conforme","A corriger"))</f>
        <v/>
      </c>
      <c r="N14" s="7" t="str">
        <f aca="false">IF(OR(G14="",J14="",M14=""),"Incomplet",IF(AND(G14="Conforme",J14="Conforme",M14="Conforme"),"CONFORME","A CORRIGER"))</f>
        <v>Incomplet</v>
      </c>
      <c r="O14" s="8"/>
    </row>
    <row r="15" customFormat="false" ht="19.5" hidden="false" customHeight="true" outlineLevel="0" collapsed="false">
      <c r="A15" s="5"/>
      <c r="B15" s="5"/>
      <c r="C15" s="5"/>
      <c r="D15" s="5"/>
      <c r="E15" s="5"/>
      <c r="F15" s="6" t="str">
        <f aca="false">IF(OR(D15="",E15=""),"",D15-E15)</f>
        <v/>
      </c>
      <c r="G15" s="6" t="str">
        <f aca="false">IF(OR(D15="",E15=""),"",IF(F15&lt;0,"A corriger","Conforme"))</f>
        <v/>
      </c>
      <c r="H15" s="5"/>
      <c r="I15" s="5"/>
      <c r="J15" s="6" t="str">
        <f aca="false">IF(H15="","",IF(H15=0,"Conforme",IF(I15&gt;=H15,"Conforme","A corriger")))</f>
        <v/>
      </c>
      <c r="K15" s="5"/>
      <c r="L15" s="6" t="str">
        <f aca="true">IF(K15="","",IF((TODAY()-DATEVALUE(K15))&lt;=35,"Oui","Non"))</f>
        <v/>
      </c>
      <c r="M15" s="6" t="str">
        <f aca="false">IF(L15="","",IF(L15="Oui","Conforme","A corriger"))</f>
        <v/>
      </c>
      <c r="N15" s="7" t="str">
        <f aca="false">IF(OR(G15="",J15="",M15=""),"Incomplet",IF(AND(G15="Conforme",J15="Conforme",M15="Conforme"),"CONFORME","A CORRIGER"))</f>
        <v>Incomplet</v>
      </c>
      <c r="O15" s="5"/>
    </row>
    <row r="16" customFormat="false" ht="19.5" hidden="false" customHeight="true" outlineLevel="0" collapsed="false">
      <c r="A16" s="8"/>
      <c r="B16" s="8"/>
      <c r="C16" s="8"/>
      <c r="D16" s="8"/>
      <c r="E16" s="8"/>
      <c r="F16" s="6" t="str">
        <f aca="false">IF(OR(D16="",E16=""),"",D16-E16)</f>
        <v/>
      </c>
      <c r="G16" s="6" t="str">
        <f aca="false">IF(OR(D16="",E16=""),"",IF(F16&lt;0,"A corriger","Conforme"))</f>
        <v/>
      </c>
      <c r="H16" s="8"/>
      <c r="I16" s="8"/>
      <c r="J16" s="6" t="str">
        <f aca="false">IF(H16="","",IF(H16=0,"Conforme",IF(I16&gt;=H16,"Conforme","A corriger")))</f>
        <v/>
      </c>
      <c r="K16" s="8"/>
      <c r="L16" s="6" t="str">
        <f aca="true">IF(K16="","",IF((TODAY()-DATEVALUE(K16))&lt;=35,"Oui","Non"))</f>
        <v/>
      </c>
      <c r="M16" s="6" t="str">
        <f aca="false">IF(L16="","",IF(L16="Oui","Conforme","A corriger"))</f>
        <v/>
      </c>
      <c r="N16" s="7" t="str">
        <f aca="false">IF(OR(G16="",J16="",M16=""),"Incomplet",IF(AND(G16="Conforme",J16="Conforme",M16="Conforme"),"CONFORME","A CORRIGER"))</f>
        <v>Incomplet</v>
      </c>
      <c r="O16" s="8"/>
    </row>
    <row r="17" customFormat="false" ht="19.5" hidden="false" customHeight="true" outlineLevel="0" collapsed="false">
      <c r="A17" s="5"/>
      <c r="B17" s="5"/>
      <c r="C17" s="5"/>
      <c r="D17" s="5"/>
      <c r="E17" s="5"/>
      <c r="F17" s="6" t="str">
        <f aca="false">IF(OR(D17="",E17=""),"",D17-E17)</f>
        <v/>
      </c>
      <c r="G17" s="6" t="str">
        <f aca="false">IF(OR(D17="",E17=""),"",IF(F17&lt;0,"A corriger","Conforme"))</f>
        <v/>
      </c>
      <c r="H17" s="5"/>
      <c r="I17" s="5"/>
      <c r="J17" s="6" t="str">
        <f aca="false">IF(H17="","",IF(H17=0,"Conforme",IF(I17&gt;=H17,"Conforme","A corriger")))</f>
        <v/>
      </c>
      <c r="K17" s="5"/>
      <c r="L17" s="6" t="str">
        <f aca="true">IF(K17="","",IF((TODAY()-DATEVALUE(K17))&lt;=35,"Oui","Non"))</f>
        <v/>
      </c>
      <c r="M17" s="6" t="str">
        <f aca="false">IF(L17="","",IF(L17="Oui","Conforme","A corriger"))</f>
        <v/>
      </c>
      <c r="N17" s="7" t="str">
        <f aca="false">IF(OR(G17="",J17="",M17=""),"Incomplet",IF(AND(G17="Conforme",J17="Conforme",M17="Conforme"),"CONFORME","A CORRIGER"))</f>
        <v>Incomplet</v>
      </c>
      <c r="O17" s="5"/>
    </row>
    <row r="18" customFormat="false" ht="19.5" hidden="false" customHeight="true" outlineLevel="0" collapsed="false">
      <c r="A18" s="8"/>
      <c r="B18" s="8"/>
      <c r="C18" s="8"/>
      <c r="D18" s="8"/>
      <c r="E18" s="8"/>
      <c r="F18" s="6" t="str">
        <f aca="false">IF(OR(D18="",E18=""),"",D18-E18)</f>
        <v/>
      </c>
      <c r="G18" s="6" t="str">
        <f aca="false">IF(OR(D18="",E18=""),"",IF(F18&lt;0,"A corriger","Conforme"))</f>
        <v/>
      </c>
      <c r="H18" s="8"/>
      <c r="I18" s="8"/>
      <c r="J18" s="6" t="str">
        <f aca="false">IF(H18="","",IF(H18=0,"Conforme",IF(I18&gt;=H18,"Conforme","A corriger")))</f>
        <v/>
      </c>
      <c r="K18" s="8"/>
      <c r="L18" s="6" t="str">
        <f aca="true">IF(K18="","",IF((TODAY()-DATEVALUE(K18))&lt;=35,"Oui","Non"))</f>
        <v/>
      </c>
      <c r="M18" s="6" t="str">
        <f aca="false">IF(L18="","",IF(L18="Oui","Conforme","A corriger"))</f>
        <v/>
      </c>
      <c r="N18" s="7" t="str">
        <f aca="false">IF(OR(G18="",J18="",M18=""),"Incomplet",IF(AND(G18="Conforme",J18="Conforme",M18="Conforme"),"CONFORME","A CORRIGER"))</f>
        <v>Incomplet</v>
      </c>
      <c r="O18" s="8"/>
    </row>
    <row r="19" customFormat="false" ht="19.5" hidden="false" customHeight="true" outlineLevel="0" collapsed="false">
      <c r="A19" s="5"/>
      <c r="B19" s="5"/>
      <c r="C19" s="5"/>
      <c r="D19" s="5"/>
      <c r="E19" s="5"/>
      <c r="F19" s="6" t="str">
        <f aca="false">IF(OR(D19="",E19=""),"",D19-E19)</f>
        <v/>
      </c>
      <c r="G19" s="6" t="str">
        <f aca="false">IF(OR(D19="",E19=""),"",IF(F19&lt;0,"A corriger","Conforme"))</f>
        <v/>
      </c>
      <c r="H19" s="5"/>
      <c r="I19" s="5"/>
      <c r="J19" s="6" t="str">
        <f aca="false">IF(H19="","",IF(H19=0,"Conforme",IF(I19&gt;=H19,"Conforme","A corriger")))</f>
        <v/>
      </c>
      <c r="K19" s="5"/>
      <c r="L19" s="6" t="str">
        <f aca="true">IF(K19="","",IF((TODAY()-DATEVALUE(K19))&lt;=35,"Oui","Non"))</f>
        <v/>
      </c>
      <c r="M19" s="6" t="str">
        <f aca="false">IF(L19="","",IF(L19="Oui","Conforme","A corriger"))</f>
        <v/>
      </c>
      <c r="N19" s="7" t="str">
        <f aca="false">IF(OR(G19="",J19="",M19=""),"Incomplet",IF(AND(G19="Conforme",J19="Conforme",M19="Conforme"),"CONFORME","A CORRIGER"))</f>
        <v>Incomplet</v>
      </c>
      <c r="O19" s="5"/>
    </row>
    <row r="21" customFormat="false" ht="15" hidden="false" customHeight="false" outlineLevel="0" collapsed="false">
      <c r="A21" s="3" t="s">
        <v>41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</sheetData>
  <mergeCells count="4">
    <mergeCell ref="A1:O1"/>
    <mergeCell ref="A2:O2"/>
    <mergeCell ref="A3:O3"/>
    <mergeCell ref="A21:O21"/>
  </mergeCells>
  <conditionalFormatting sqref="G5:G19">
    <cfRule type="expression" priority="2" aboveAverage="0" equalAverage="0" bottom="0" percent="0" rank="0" text="" dxfId="0">
      <formula>G5="A corriger"</formula>
    </cfRule>
    <cfRule type="expression" priority="3" aboveAverage="0" equalAverage="0" bottom="0" percent="0" rank="0" text="" dxfId="1">
      <formula>G5="Conforme"</formula>
    </cfRule>
  </conditionalFormatting>
  <conditionalFormatting sqref="J5:J19">
    <cfRule type="expression" priority="4" aboveAverage="0" equalAverage="0" bottom="0" percent="0" rank="0" text="" dxfId="0">
      <formula>J5="A corriger"</formula>
    </cfRule>
    <cfRule type="expression" priority="5" aboveAverage="0" equalAverage="0" bottom="0" percent="0" rank="0" text="" dxfId="1">
      <formula>J5="Conforme"</formula>
    </cfRule>
  </conditionalFormatting>
  <conditionalFormatting sqref="M5:M19">
    <cfRule type="expression" priority="6" aboveAverage="0" equalAverage="0" bottom="0" percent="0" rank="0" text="" dxfId="0">
      <formula>M5="A corriger"</formula>
    </cfRule>
    <cfRule type="expression" priority="7" aboveAverage="0" equalAverage="0" bottom="0" percent="0" rank="0" text="" dxfId="1">
      <formula>M5="Conforme"</formula>
    </cfRule>
  </conditionalFormatting>
  <conditionalFormatting sqref="N5:N19">
    <cfRule type="expression" priority="8" aboveAverage="0" equalAverage="0" bottom="0" percent="0" rank="0" text="" dxfId="2">
      <formula>N5="A CORRIGER"</formula>
    </cfRule>
    <cfRule type="expression" priority="9" aboveAverage="0" equalAverage="0" bottom="0" percent="0" rank="0" text="" dxfId="3">
      <formula>N5="CONFORME"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27.75" hidden="false" customHeight="true" outlineLevel="0" collapsed="false">
      <c r="A1" s="1" t="s">
        <v>42</v>
      </c>
      <c r="B1" s="1"/>
      <c r="C1" s="1"/>
      <c r="D1" s="1"/>
    </row>
    <row r="2" customFormat="false" ht="15" hidden="false" customHeight="true" outlineLevel="0" collapsed="false">
      <c r="A2" s="2" t="s">
        <v>43</v>
      </c>
      <c r="B2" s="2"/>
      <c r="C2" s="2"/>
      <c r="D2" s="2"/>
    </row>
    <row r="4" customFormat="false" ht="19.5" hidden="false" customHeight="true" outlineLevel="0" collapsed="false">
      <c r="A4" s="9" t="s">
        <v>44</v>
      </c>
      <c r="B4" s="9" t="s">
        <v>45</v>
      </c>
    </row>
    <row r="5" customFormat="false" ht="18" hidden="false" customHeight="true" outlineLevel="0" collapsed="false">
      <c r="A5" s="10" t="s">
        <v>46</v>
      </c>
      <c r="B5" s="11" t="n">
        <f aca="false">COUNTIF('Checklist Conformite'!$A$5:$A$19,"?*")</f>
        <v>9</v>
      </c>
    </row>
    <row r="6" customFormat="false" ht="18" hidden="false" customHeight="true" outlineLevel="0" collapsed="false">
      <c r="A6" s="10" t="s">
        <v>47</v>
      </c>
      <c r="B6" s="11" t="n">
        <f aca="false">COUNTIF('Checklist Conformite'!$N$5:$N$19,"CONFORME")</f>
        <v>5</v>
      </c>
    </row>
    <row r="7" customFormat="false" ht="18" hidden="false" customHeight="true" outlineLevel="0" collapsed="false">
      <c r="A7" s="10" t="s">
        <v>48</v>
      </c>
      <c r="B7" s="11" t="n">
        <f aca="false">COUNTIF('Checklist Conformite'!$N$5:$N$19,"A CORRIGER")</f>
        <v>4</v>
      </c>
    </row>
    <row r="8" customFormat="false" ht="18" hidden="false" customHeight="true" outlineLevel="0" collapsed="false">
      <c r="A8" s="10" t="s">
        <v>49</v>
      </c>
      <c r="B8" s="11" t="n">
        <f aca="false">COUNTIF('Checklist Conformite'!$N$5:$N$19,"Incomplet")</f>
        <v>6</v>
      </c>
    </row>
    <row r="9" customFormat="false" ht="18" hidden="false" customHeight="true" outlineLevel="0" collapsed="false">
      <c r="A9" s="12" t="s">
        <v>50</v>
      </c>
      <c r="B9" s="13" t="n">
        <f aca="false">IFERROR(B6/B5,"")</f>
        <v>0.555555555555556</v>
      </c>
    </row>
    <row r="12" customFormat="false" ht="15" hidden="false" customHeight="false" outlineLevel="0" collapsed="false">
      <c r="A12" s="14" t="s">
        <v>51</v>
      </c>
      <c r="B12" s="14"/>
    </row>
    <row r="13" customFormat="false" ht="30" hidden="false" customHeight="true" outlineLevel="0" collapsed="false">
      <c r="A13" s="4" t="s">
        <v>52</v>
      </c>
      <c r="B13" s="4" t="s">
        <v>53</v>
      </c>
    </row>
    <row r="14" customFormat="false" ht="18" hidden="false" customHeight="true" outlineLevel="0" collapsed="false">
      <c r="A14" s="10" t="s">
        <v>54</v>
      </c>
      <c r="B14" s="11" t="n">
        <f aca="false">COUNTIF('Checklist Conformite'!$G$5:$G$19,"A corriger")</f>
        <v>0</v>
      </c>
    </row>
    <row r="15" customFormat="false" ht="18" hidden="false" customHeight="true" outlineLevel="0" collapsed="false">
      <c r="A15" s="10" t="s">
        <v>55</v>
      </c>
      <c r="B15" s="11" t="n">
        <f aca="false">COUNTIF('Checklist Conformite'!$J$5:$J$19,"A corriger")</f>
        <v>2</v>
      </c>
    </row>
    <row r="16" customFormat="false" ht="18" hidden="false" customHeight="true" outlineLevel="0" collapsed="false">
      <c r="A16" s="10" t="s">
        <v>56</v>
      </c>
      <c r="B16" s="11" t="n">
        <f aca="false">COUNTIF('Checklist Conformite'!$M$5:$M$19,"A corriger")</f>
        <v>2</v>
      </c>
    </row>
  </sheetData>
  <mergeCells count="3">
    <mergeCell ref="A1:D1"/>
    <mergeCell ref="A2:D2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2026-09-09T23:14:38Z</dcterms:created>
  <dc:creator>openpyxl</dc:creator>
  <dc:description/>
  <dc:language>fr-FR</dc:language>
  <cp:lastModifiedBy/>
  <dcterms:modified xsi:type="dcterms:W3CDTF">2026-09-09T23:14:38Z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