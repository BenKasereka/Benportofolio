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ivi bien-etre" sheetId="1" state="visible" r:id="rId3"/>
    <sheet name="Synthese par personn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<sst xmlns="http://schemas.openxmlformats.org/spreadsheetml/2006/main" count="26" uniqueCount="21">
  <si>
    <t xml:space="preserve">GRILLE D'IDENTIFICATION PRECOCE DU BURNOUT</t>
  </si>
  <si>
    <t xml:space="preserve">Module 07 - Protection, Bien-Etre &amp; Prevention du Burnout - BK-BOOST Ltd.</t>
  </si>
  <si>
    <t xml:space="preserve">Notez chaque indicateur de 0 (absent) a 3 (marque) par periode et par personne. Le score cumule et le statut se calculent automatiquement. Seuils: 0-4 = OK, 5-7 = A surveiller, 8-12 = ALERTE.</t>
  </si>
  <si>
    <t xml:space="preserve">Membre de l'equipe</t>
  </si>
  <si>
    <t xml:space="preserve">Periode</t>
  </si>
  <si>
    <t xml:space="preserve">Irritabilite inhabituelle (0-3)</t>
  </si>
  <si>
    <t xml:space="preserve">Absenteisme croissant (0-3)</t>
  </si>
  <si>
    <t xml:space="preserve">Baisse d'engagement (0-3)</t>
  </si>
  <si>
    <t xml:space="preserve">Taux d'erreurs inhabituel (0-3)</t>
  </si>
  <si>
    <t xml:space="preserve">Score de risque cumule</t>
  </si>
  <si>
    <t xml:space="preserve">Statut</t>
  </si>
  <si>
    <t xml:space="preserve">Jonas K. (chef d'equipe logistique)</t>
  </si>
  <si>
    <t xml:space="preserve">Semaine 1-2</t>
  </si>
  <si>
    <t xml:space="preserve">Semaine 3-4</t>
  </si>
  <si>
    <t xml:space="preserve">Semaine 5-6</t>
  </si>
  <si>
    <t xml:space="preserve">Semaine 7 (incident)</t>
  </si>
  <si>
    <t xml:space="preserve">SYNTHESE PAR PERSONNE</t>
  </si>
  <si>
    <t xml:space="preserve">Calculee automatiquement a partir de l'onglet 'Suivi bien-etre' - ne pas modifier les formules.</t>
  </si>
  <si>
    <t xml:space="preserve">Score de risque maximum atteint</t>
  </si>
  <si>
    <t xml:space="preserve">Nombre de periodes en ALERTE</t>
  </si>
  <si>
    <t xml:space="preserve">Nombre de periodes 'A surveiller'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</si>
</sst>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15803D"/>
      </patternFill>
    </fill>
    <fill>
      <patternFill patternType="solid">
        <fgColor rgb="FFECFDF5"/>
        <bgColor rgb="FFDCF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91C1C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5803D"/>
        <sz val="10"/>
      </font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47857"/>
      <rgbColor rgb="FFC0C0C0"/>
      <rgbColor rgb="FF808080"/>
      <rgbColor rgb="FF9999FF"/>
      <rgbColor rgb="FFB91C1C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DF5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20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1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customFormat="false" ht="15" hidden="false" customHeight="false" outlineLevel="0" collapsed="false">
      <c r="A5" s="5" t="s">
        <v>11</v>
      </c>
      <c r="B5" s="5" t="s">
        <v>12</v>
      </c>
      <c r="C5" s="6" t="n">
        <v>1</v>
      </c>
      <c r="D5" s="6" t="n">
        <v>0</v>
      </c>
      <c r="E5" s="6" t="n">
        <v>0</v>
      </c>
      <c r="F5" s="6" t="n">
        <v>0</v>
      </c>
      <c r="G5" s="7" t="n">
        <f aca="false">SUM(C5:F5)</f>
        <v>1</v>
      </c>
      <c r="H5" s="7" t="str">
        <f aca="false">IF(G5&gt;=8,"ALERTE",IF(G5&gt;=5,"A surveiller","OK"))</f>
        <v>OK</v>
      </c>
    </row>
    <row r="6" customFormat="false" ht="15" hidden="false" customHeight="false" outlineLevel="0" collapsed="false">
      <c r="A6" s="8" t="s">
        <v>11</v>
      </c>
      <c r="B6" s="8" t="s">
        <v>13</v>
      </c>
      <c r="C6" s="9" t="n">
        <v>2</v>
      </c>
      <c r="D6" s="9" t="n">
        <v>1</v>
      </c>
      <c r="E6" s="9" t="n">
        <v>1</v>
      </c>
      <c r="F6" s="9" t="n">
        <v>0</v>
      </c>
      <c r="G6" s="7" t="n">
        <f aca="false">SUM(C6:F6)</f>
        <v>4</v>
      </c>
      <c r="H6" s="7" t="str">
        <f aca="false">IF(G6&gt;=8,"ALERTE",IF(G6&gt;=5,"A surveiller","OK"))</f>
        <v>OK</v>
      </c>
    </row>
    <row r="7" customFormat="false" ht="15" hidden="false" customHeight="false" outlineLevel="0" collapsed="false">
      <c r="A7" s="5" t="s">
        <v>11</v>
      </c>
      <c r="B7" s="5" t="s">
        <v>14</v>
      </c>
      <c r="C7" s="6" t="n">
        <v>2</v>
      </c>
      <c r="D7" s="6" t="n">
        <v>1</v>
      </c>
      <c r="E7" s="6" t="n">
        <v>2</v>
      </c>
      <c r="F7" s="6" t="n">
        <v>2</v>
      </c>
      <c r="G7" s="7" t="n">
        <f aca="false">SUM(C7:F7)</f>
        <v>7</v>
      </c>
      <c r="H7" s="7" t="str">
        <f aca="false">IF(G7&gt;=8,"ALERTE",IF(G7&gt;=5,"A surveiller","OK"))</f>
        <v>A surveiller</v>
      </c>
    </row>
    <row r="8" customFormat="false" ht="15" hidden="false" customHeight="false" outlineLevel="0" collapsed="false">
      <c r="A8" s="8" t="s">
        <v>11</v>
      </c>
      <c r="B8" s="8" t="s">
        <v>15</v>
      </c>
      <c r="C8" s="9" t="n">
        <v>3</v>
      </c>
      <c r="D8" s="9" t="n">
        <v>2</v>
      </c>
      <c r="E8" s="9" t="n">
        <v>3</v>
      </c>
      <c r="F8" s="9" t="n">
        <v>3</v>
      </c>
      <c r="G8" s="7" t="n">
        <f aca="false">SUM(C8:F8)</f>
        <v>11</v>
      </c>
      <c r="H8" s="7" t="str">
        <f aca="false">IF(G8&gt;=8,"ALERTE",IF(G8&gt;=5,"A surveiller","OK"))</f>
        <v>ALERTE</v>
      </c>
    </row>
    <row r="9" customFormat="false" ht="15" hidden="false" customHeight="false" outlineLevel="0" collapsed="false">
      <c r="A9" s="5"/>
      <c r="B9" s="5"/>
      <c r="C9" s="6"/>
      <c r="D9" s="6"/>
      <c r="E9" s="6"/>
      <c r="F9" s="6"/>
      <c r="G9" s="7" t="str">
        <f aca="false">IF(COUNT(C9:F9)=0,"",SUM(C9:F9))</f>
        <v/>
      </c>
      <c r="H9" s="7" t="str">
        <f aca="false">IF(G9="","",IF(G9&gt;=8,"ALERTE",IF(G9&gt;=5,"A surveiller","OK")))</f>
        <v/>
      </c>
    </row>
    <row r="10" customFormat="false" ht="15" hidden="false" customHeight="false" outlineLevel="0" collapsed="false">
      <c r="A10" s="5"/>
      <c r="B10" s="5"/>
      <c r="C10" s="6"/>
      <c r="D10" s="6"/>
      <c r="E10" s="6"/>
      <c r="F10" s="6"/>
      <c r="G10" s="7" t="str">
        <f aca="false">IF(COUNT(C10:F10)=0,"",SUM(C10:F10))</f>
        <v/>
      </c>
      <c r="H10" s="7" t="str">
        <f aca="false">IF(G10="","",IF(G10&gt;=8,"ALERTE",IF(G10&gt;=5,"A surveiller","OK")))</f>
        <v/>
      </c>
    </row>
    <row r="11" customFormat="false" ht="15" hidden="false" customHeight="false" outlineLevel="0" collapsed="false">
      <c r="A11" s="5"/>
      <c r="B11" s="5"/>
      <c r="C11" s="6"/>
      <c r="D11" s="6"/>
      <c r="E11" s="6"/>
      <c r="F11" s="6"/>
      <c r="G11" s="7" t="str">
        <f aca="false">IF(COUNT(C11:F11)=0,"",SUM(C11:F11))</f>
        <v/>
      </c>
      <c r="H11" s="7" t="str">
        <f aca="false">IF(G11="","",IF(G11&gt;=8,"ALERTE",IF(G11&gt;=5,"A surveiller","OK")))</f>
        <v/>
      </c>
    </row>
    <row r="12" customFormat="false" ht="15" hidden="false" customHeight="false" outlineLevel="0" collapsed="false">
      <c r="A12" s="5"/>
      <c r="B12" s="5"/>
      <c r="C12" s="6"/>
      <c r="D12" s="6"/>
      <c r="E12" s="6"/>
      <c r="F12" s="6"/>
      <c r="G12" s="7" t="str">
        <f aca="false">IF(COUNT(C12:F12)=0,"",SUM(C12:F12))</f>
        <v/>
      </c>
      <c r="H12" s="7" t="str">
        <f aca="false">IF(G12="","",IF(G12&gt;=8,"ALERTE",IF(G12&gt;=5,"A surveiller","OK")))</f>
        <v/>
      </c>
    </row>
    <row r="13" customFormat="false" ht="15" hidden="false" customHeight="false" outlineLevel="0" collapsed="false">
      <c r="A13" s="5"/>
      <c r="B13" s="5"/>
      <c r="C13" s="6"/>
      <c r="D13" s="6"/>
      <c r="E13" s="6"/>
      <c r="F13" s="6"/>
      <c r="G13" s="7" t="str">
        <f aca="false">IF(COUNT(C13:F13)=0,"",SUM(C13:F13))</f>
        <v/>
      </c>
      <c r="H13" s="7" t="str">
        <f aca="false">IF(G13="","",IF(G13&gt;=8,"ALERTE",IF(G13&gt;=5,"A surveiller","OK")))</f>
        <v/>
      </c>
    </row>
    <row r="14" customFormat="false" ht="15" hidden="false" customHeight="false" outlineLevel="0" collapsed="false">
      <c r="A14" s="5"/>
      <c r="B14" s="5"/>
      <c r="C14" s="6"/>
      <c r="D14" s="6"/>
      <c r="E14" s="6"/>
      <c r="F14" s="6"/>
      <c r="G14" s="7" t="str">
        <f aca="false">IF(COUNT(C14:F14)=0,"",SUM(C14:F14))</f>
        <v/>
      </c>
      <c r="H14" s="7" t="str">
        <f aca="false">IF(G14="","",IF(G14&gt;=8,"ALERTE",IF(G14&gt;=5,"A surveiller","OK")))</f>
        <v/>
      </c>
    </row>
    <row r="15" customFormat="false" ht="15" hidden="false" customHeight="false" outlineLevel="0" collapsed="false">
      <c r="A15" s="5"/>
      <c r="B15" s="5"/>
      <c r="C15" s="6"/>
      <c r="D15" s="6"/>
      <c r="E15" s="6"/>
      <c r="F15" s="6"/>
      <c r="G15" s="7" t="str">
        <f aca="false">IF(COUNT(C15:F15)=0,"",SUM(C15:F15))</f>
        <v/>
      </c>
      <c r="H15" s="7" t="str">
        <f aca="false">IF(G15="","",IF(G15&gt;=8,"ALERTE",IF(G15&gt;=5,"A surveiller","OK")))</f>
        <v/>
      </c>
    </row>
    <row r="16" customFormat="false" ht="15" hidden="false" customHeight="false" outlineLevel="0" collapsed="false">
      <c r="A16" s="5"/>
      <c r="B16" s="5"/>
      <c r="C16" s="6"/>
      <c r="D16" s="6"/>
      <c r="E16" s="6"/>
      <c r="F16" s="6"/>
      <c r="G16" s="7" t="str">
        <f aca="false">IF(COUNT(C16:F16)=0,"",SUM(C16:F16))</f>
        <v/>
      </c>
      <c r="H16" s="7" t="str">
        <f aca="false">IF(G16="","",IF(G16&gt;=8,"ALERTE",IF(G16&gt;=5,"A surveiller","OK")))</f>
        <v/>
      </c>
    </row>
    <row r="17" customFormat="false" ht="15" hidden="false" customHeight="false" outlineLevel="0" collapsed="false">
      <c r="A17" s="5"/>
      <c r="B17" s="5"/>
      <c r="C17" s="6"/>
      <c r="D17" s="6"/>
      <c r="E17" s="6"/>
      <c r="F17" s="6"/>
      <c r="G17" s="7" t="str">
        <f aca="false">IF(COUNT(C17:F17)=0,"",SUM(C17:F17))</f>
        <v/>
      </c>
      <c r="H17" s="7" t="str">
        <f aca="false">IF(G17="","",IF(G17&gt;=8,"ALERTE",IF(G17&gt;=5,"A surveiller","OK")))</f>
        <v/>
      </c>
    </row>
    <row r="18" customFormat="false" ht="15" hidden="false" customHeight="false" outlineLevel="0" collapsed="false">
      <c r="A18" s="5"/>
      <c r="B18" s="5"/>
      <c r="C18" s="6"/>
      <c r="D18" s="6"/>
      <c r="E18" s="6"/>
      <c r="F18" s="6"/>
      <c r="G18" s="7" t="str">
        <f aca="false">IF(COUNT(C18:F18)=0,"",SUM(C18:F18))</f>
        <v/>
      </c>
      <c r="H18" s="7" t="str">
        <f aca="false">IF(G18="","",IF(G18&gt;=8,"ALERTE",IF(G18&gt;=5,"A surveiller","OK")))</f>
        <v/>
      </c>
    </row>
    <row r="19" customFormat="false" ht="15" hidden="false" customHeight="false" outlineLevel="0" collapsed="false">
      <c r="A19" s="5"/>
      <c r="B19" s="5"/>
      <c r="C19" s="6"/>
      <c r="D19" s="6"/>
      <c r="E19" s="6"/>
      <c r="F19" s="6"/>
      <c r="G19" s="7" t="str">
        <f aca="false">IF(COUNT(C19:F19)=0,"",SUM(C19:F19))</f>
        <v/>
      </c>
      <c r="H19" s="7" t="str">
        <f aca="false">IF(G19="","",IF(G19&gt;=8,"ALERTE",IF(G19&gt;=5,"A surveiller","OK")))</f>
        <v/>
      </c>
    </row>
    <row r="20" customFormat="false" ht="15" hidden="false" customHeight="false" outlineLevel="0" collapsed="false">
      <c r="A20" s="5"/>
      <c r="B20" s="5"/>
      <c r="C20" s="6"/>
      <c r="D20" s="6"/>
      <c r="E20" s="6"/>
      <c r="F20" s="6"/>
      <c r="G20" s="7" t="str">
        <f aca="false">IF(COUNT(C20:F20)=0,"",SUM(C20:F20))</f>
        <v/>
      </c>
      <c r="H20" s="7" t="str">
        <f aca="false">IF(G20="","",IF(G20&gt;=8,"ALERTE",IF(G20&gt;=5,"A surveiller","OK")))</f>
        <v/>
      </c>
    </row>
    <row r="21" customFormat="false" ht="15" hidden="false" customHeight="false" outlineLevel="0" collapsed="false">
      <c r="A21" s="5"/>
      <c r="B21" s="5"/>
      <c r="C21" s="6"/>
      <c r="D21" s="6"/>
      <c r="E21" s="6"/>
      <c r="F21" s="6"/>
      <c r="G21" s="7" t="str">
        <f aca="false">IF(COUNT(C21:F21)=0,"",SUM(C21:F21))</f>
        <v/>
      </c>
      <c r="H21" s="7" t="str">
        <f aca="false">IF(G21="","",IF(G21&gt;=8,"ALERTE",IF(G21&gt;=5,"A surveiller","OK")))</f>
        <v/>
      </c>
    </row>
    <row r="22" customFormat="false" ht="15" hidden="false" customHeight="false" outlineLevel="0" collapsed="false">
      <c r="A22" s="5"/>
      <c r="B22" s="5"/>
      <c r="C22" s="6"/>
      <c r="D22" s="6"/>
      <c r="E22" s="6"/>
      <c r="F22" s="6"/>
      <c r="G22" s="7" t="str">
        <f aca="false">IF(COUNT(C22:F22)=0,"",SUM(C22:F22))</f>
        <v/>
      </c>
      <c r="H22" s="7" t="str">
        <f aca="false">IF(G22="","",IF(G22&gt;=8,"ALERTE",IF(G22&gt;=5,"A surveiller","OK")))</f>
        <v/>
      </c>
    </row>
    <row r="23" customFormat="false" ht="15" hidden="false" customHeight="false" outlineLevel="0" collapsed="false">
      <c r="A23" s="5"/>
      <c r="B23" s="5"/>
      <c r="C23" s="6"/>
      <c r="D23" s="6"/>
      <c r="E23" s="6"/>
      <c r="F23" s="6"/>
      <c r="G23" s="7" t="str">
        <f aca="false">IF(COUNT(C23:F23)=0,"",SUM(C23:F23))</f>
        <v/>
      </c>
      <c r="H23" s="7" t="str">
        <f aca="false">IF(G23="","",IF(G23&gt;=8,"ALERTE",IF(G23&gt;=5,"A surveiller","OK")))</f>
        <v/>
      </c>
    </row>
    <row r="24" customFormat="false" ht="15" hidden="false" customHeight="false" outlineLevel="0" collapsed="false">
      <c r="A24" s="5"/>
      <c r="B24" s="5"/>
      <c r="C24" s="6"/>
      <c r="D24" s="6"/>
      <c r="E24" s="6"/>
      <c r="F24" s="6"/>
      <c r="G24" s="7" t="str">
        <f aca="false">IF(COUNT(C24:F24)=0,"",SUM(C24:F24))</f>
        <v/>
      </c>
      <c r="H24" s="7" t="str">
        <f aca="false">IF(G24="","",IF(G24&gt;=8,"ALERTE",IF(G24&gt;=5,"A surveiller","OK")))</f>
        <v/>
      </c>
    </row>
  </sheetData>
  <mergeCells count="3">
    <mergeCell ref="A1:H1"/>
    <mergeCell ref="A2:H2"/>
    <mergeCell ref="A3:H3"/>
  </mergeCells>
  <conditionalFormatting sqref="H5:H24">
    <cfRule type="cellIs" priority="2" operator="equal" aboveAverage="0" equalAverage="0" bottom="0" percent="0" rank="0" text="" dxfId="0">
      <formula>"ALERTE"</formula>
    </cfRule>
    <cfRule type="cellIs" priority="3" operator="equal" aboveAverage="0" equalAverage="0" bottom="0" percent="0" rank="0" text="" dxfId="1">
      <formula>"A surveiller"</formula>
    </cfRule>
    <cfRule type="cellIs" priority="4" operator="equal" aboveAverage="0" equalAverage="0" bottom="0" percent="0" rank="0" text="" dxfId="2">
      <formula>"OK"</formula>
    </cfRule>
  </conditionalFormatting>
  <conditionalFormatting sqref="G5:G24">
    <cfRule type="cellIs" priority="5" operator="greaterThanOrEqual" aboveAverage="0" equalAverage="0" bottom="0" percent="0" rank="0" text="" dxfId="0">
      <formula>8</formula>
    </cfRule>
    <cfRule type="expression" priority="6" aboveAverage="0" equalAverage="0" bottom="0" percent="0" rank="0" text="" dxfId="1">
      <formula>AND(G5&gt;=5,G5&lt;8)</formula>
    </cfRule>
  </conditionalFormatting>
  <dataValidations count="1">
    <dataValidation allowBlank="true" error="Merci d'entrer un score entre 0 et 3." errorStyle="stop" errorTitle="Score invalide" operator="between" showDropDown="false" showErrorMessage="false" showInputMessage="false" sqref="C5:F24" type="whole">
      <formula1>0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26"/>
  </cols>
  <sheetData>
    <row r="1" customFormat="false" ht="27.75" hidden="false" customHeight="true" outlineLevel="0" collapsed="false">
      <c r="A1" s="1" t="s">
        <v>16</v>
      </c>
      <c r="B1" s="1"/>
      <c r="C1" s="1"/>
      <c r="D1" s="1"/>
    </row>
    <row r="2" customFormat="false" ht="15.75" hidden="false" customHeight="true" outlineLevel="0" collapsed="false">
      <c r="A2" s="2" t="s">
        <v>17</v>
      </c>
      <c r="B2" s="2"/>
      <c r="C2" s="2"/>
      <c r="D2" s="2"/>
    </row>
    <row r="4" customFormat="false" ht="31.5" hidden="false" customHeight="true" outlineLevel="0" collapsed="false">
      <c r="A4" s="4" t="s">
        <v>3</v>
      </c>
      <c r="B4" s="4" t="s">
        <v>18</v>
      </c>
      <c r="C4" s="4" t="s">
        <v>19</v>
      </c>
      <c r="D4" s="4" t="s">
        <v>20</v>
      </c>
    </row>
    <row r="5" customFormat="false" ht="15" hidden="false" customHeight="false" outlineLevel="0" collapsed="false">
      <c r="A5" s="10" t="s">
        <v>11</v>
      </c>
      <c r="B5" s="11" t="n">
        <f aca="false" t="array" ref="B5">IFERROR(MAX(IF('Suivi bien-etre'!$A$5:$A$24=A5,'Suivi bien-etre'!$G$5:$G$24)),"")</f>
        <v>11</v>
      </c>
      <c r="C5" s="12" t="n">
        <f aca="false">COUNTIFS('Suivi bien-etre'!$A$5:$A$24,A5,'Suivi bien-etre'!$H$5:$H$24,"ALERTE")</f>
        <v>1</v>
      </c>
      <c r="D5" s="12" t="n">
        <f aca="false">COUNTIFS('Suivi bien-etre'!$A$5:$A$24,A5,'Suivi bien-etre'!$H$5:$H$24,"A surveiller")</f>
        <v>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2026-09-09T23:15:58Z</dcterms:created>
  <dc:creator>openpyxl</dc:creator>
  <dc:description/>
  <dc:language>fr-FR</dc:language>
  <cp:lastModifiedBy/>
  <dcterms:modified xsi:type="dcterms:W3CDTF">2026-09-09T23:15:58Z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