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dicateurs" sheetId="1" state="visible" r:id="rId3"/>
    <sheet name="Alerte d'escalad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<sst xmlns="http://schemas.openxmlformats.org/spreadsheetml/2006/main" count="34" uniqueCount="27">
  <si>
    <t xml:space="preserve">GRILLE D'IDENTIFICATION PRÉCOCE DES CONFLITS D'ÉQUIPE</t>
  </si>
  <si>
    <t xml:space="preserve">Module 08 · Gestion des Conflits &amp; Médiation en Équipe Multiculturelle · BK-BOOST Ltd. -- À tenir à jour en continu, pas seulement au moment d'un incident déjà déclaré.</t>
  </si>
  <si>
    <t xml:space="preserve">Équipe / Base</t>
  </si>
  <si>
    <t xml:space="preserve">Indicateur de tension observé</t>
  </si>
  <si>
    <t xml:space="preserve">Date constatée</t>
  </si>
  <si>
    <t xml:space="preserve">Sévérité (1-3)</t>
  </si>
  <si>
    <t xml:space="preserve">Rapporté par</t>
  </si>
  <si>
    <t xml:space="preserve">Base Goma - Logistique</t>
  </si>
  <si>
    <t xml:space="preserve">Baisse notable d'initiative spontanée de l'équipe en réunion</t>
  </si>
  <si>
    <t xml:space="preserve">Base Manager</t>
  </si>
  <si>
    <t xml:space="preserve">Remarques informelles rapportées par plusieurs membres au Base Manager</t>
  </si>
  <si>
    <t xml:space="preserve">Réduction visible des échanges informels avec le chef d'équipe</t>
  </si>
  <si>
    <t xml:space="preserve">HR Manager (observation directe)</t>
  </si>
  <si>
    <t xml:space="preserve">Base Bunia - Santé</t>
  </si>
  <si>
    <t xml:space="preserve">Désaccord isolé sur un planning de garde, résolu en 24h</t>
  </si>
  <si>
    <t xml:space="preserve">Chef d'équipe santé</t>
  </si>
  <si>
    <t xml:space="preserve">Base Uvira - WASH</t>
  </si>
  <si>
    <t xml:space="preserve">Deux collègues évitent de se parler directement depuis une semaine</t>
  </si>
  <si>
    <t xml:space="preserve">Collègue d'équipe</t>
  </si>
  <si>
    <t xml:space="preserve">Note : chaque indicateur doit être daté dès sa constatation, pas reconstitué de mémoire plus tard -- c'est la condition pour que l'onglet 'Alerte d'escalade' calcule une fenêtre de 30 jours fiable.</t>
  </si>
  <si>
    <t xml:space="preserve">ALERTE D'ESCALADE PAR ÉQUIPE</t>
  </si>
  <si>
    <t xml:space="preserve">Calculé automatiquement depuis l'onglet 'Indicateurs' -- ne pas modifier les formules. Fenêtre glissante de 30 jours par rapport à la date la plus récente enregistrée.</t>
  </si>
  <si>
    <t xml:space="preserve">Date de référence (indicateur le plus récent enregistré) :</t>
  </si>
  <si>
    <t xml:space="preserve">Nb indicateurs (fenêtre 30j)</t>
  </si>
  <si>
    <t xml:space="preserve">Somme sévérité (fenêtre 30j)</t>
  </si>
  <si>
    <t xml:space="preserve">Statut</t>
  </si>
  <si>
    <t xml:space="preserve">Seuils : ESCALADE si 3 indicateurs ou plus (ou sévérité cumulée &gt;= 6) sur 30 jours glissants pour la même équipe -- A SURVEILLER si 2 indicateurs ou plus (ou sévérité cumulée &gt;= 4). Un statut ESCALADE déclenche une médiation sous 5 jours ouvrés avec le protocole protocole-mediation-conflit-equipe-multiculturelle.docx.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</si>
</sst>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E3A8A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047857"/>
        <bgColor rgb="FF008080"/>
      </patternFill>
    </fill>
    <fill>
      <patternFill patternType="solid">
        <fgColor rgb="FFECFDF5"/>
        <bgColor rgb="FFDCFC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991B1B"/>
        <sz val="10"/>
      </font>
      <fill>
        <patternFill>
          <bgColor rgb="FFFEE2E2"/>
        </patternFill>
      </fill>
    </dxf>
    <dxf>
      <font>
        <name val="Arial"/>
        <charset val="1"/>
        <family val="0"/>
        <b val="1"/>
        <color rgb="FF92400E"/>
        <sz val="10"/>
      </font>
      <fill>
        <patternFill>
          <bgColor rgb="FFFEF3C7"/>
        </patternFill>
      </fill>
    </dxf>
    <dxf>
      <font>
        <name val="Arial"/>
        <charset val="1"/>
        <family val="0"/>
        <b val="1"/>
        <color rgb="FF166534"/>
        <sz val="10"/>
      </font>
      <fill>
        <patternFill>
          <bgColor rgb="FFDCFCE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166534"/>
      <rgbColor rgb="FF000080"/>
      <rgbColor rgb="FF808000"/>
      <rgbColor rgb="FF800080"/>
      <rgbColor rgb="FF047857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FDF5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2400E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8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3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24" hidden="false" customHeight="false" outlineLevel="0" collapsed="false">
      <c r="A5" s="4" t="s">
        <v>7</v>
      </c>
      <c r="B5" s="4" t="s">
        <v>8</v>
      </c>
      <c r="C5" s="5" t="n">
        <v>46217</v>
      </c>
      <c r="D5" s="4" t="n">
        <v>2</v>
      </c>
      <c r="E5" s="4" t="s">
        <v>9</v>
      </c>
    </row>
    <row r="6" customFormat="false" ht="24" hidden="false" customHeight="false" outlineLevel="0" collapsed="false">
      <c r="A6" s="6" t="s">
        <v>7</v>
      </c>
      <c r="B6" s="6" t="s">
        <v>10</v>
      </c>
      <c r="C6" s="7" t="n">
        <v>46225</v>
      </c>
      <c r="D6" s="6" t="n">
        <v>2</v>
      </c>
      <c r="E6" s="6" t="s">
        <v>9</v>
      </c>
    </row>
    <row r="7" customFormat="false" ht="24" hidden="false" customHeight="false" outlineLevel="0" collapsed="false">
      <c r="A7" s="4" t="s">
        <v>7</v>
      </c>
      <c r="B7" s="4" t="s">
        <v>11</v>
      </c>
      <c r="C7" s="5" t="n">
        <v>46235</v>
      </c>
      <c r="D7" s="4" t="n">
        <v>3</v>
      </c>
      <c r="E7" s="4" t="s">
        <v>12</v>
      </c>
    </row>
    <row r="8" customFormat="false" ht="15" hidden="false" customHeight="false" outlineLevel="0" collapsed="false">
      <c r="A8" s="6" t="s">
        <v>13</v>
      </c>
      <c r="B8" s="6" t="s">
        <v>14</v>
      </c>
      <c r="C8" s="7" t="n">
        <v>46213</v>
      </c>
      <c r="D8" s="6" t="n">
        <v>1</v>
      </c>
      <c r="E8" s="6" t="s">
        <v>15</v>
      </c>
    </row>
    <row r="9" customFormat="false" ht="24" hidden="false" customHeight="false" outlineLevel="0" collapsed="false">
      <c r="A9" s="4" t="s">
        <v>16</v>
      </c>
      <c r="B9" s="4" t="s">
        <v>17</v>
      </c>
      <c r="C9" s="5" t="n">
        <v>46239</v>
      </c>
      <c r="D9" s="4" t="n">
        <v>2</v>
      </c>
      <c r="E9" s="4" t="s">
        <v>18</v>
      </c>
    </row>
    <row r="10" customFormat="false" ht="15" hidden="false" customHeight="false" outlineLevel="0" collapsed="false">
      <c r="A10" s="8"/>
      <c r="B10" s="8"/>
      <c r="C10" s="9"/>
      <c r="D10" s="8"/>
      <c r="E10" s="8"/>
    </row>
    <row r="11" customFormat="false" ht="15" hidden="false" customHeight="false" outlineLevel="0" collapsed="false">
      <c r="A11" s="8"/>
      <c r="B11" s="8"/>
      <c r="C11" s="9"/>
      <c r="D11" s="8"/>
      <c r="E11" s="8"/>
    </row>
    <row r="12" customFormat="false" ht="15" hidden="false" customHeight="false" outlineLevel="0" collapsed="false">
      <c r="A12" s="8"/>
      <c r="B12" s="8"/>
      <c r="C12" s="9"/>
      <c r="D12" s="8"/>
      <c r="E12" s="8"/>
    </row>
    <row r="13" customFormat="false" ht="15" hidden="false" customHeight="false" outlineLevel="0" collapsed="false">
      <c r="A13" s="8"/>
      <c r="B13" s="8"/>
      <c r="C13" s="9"/>
      <c r="D13" s="8"/>
      <c r="E13" s="8"/>
    </row>
    <row r="14" customFormat="false" ht="15" hidden="false" customHeight="false" outlineLevel="0" collapsed="false">
      <c r="A14" s="8"/>
      <c r="B14" s="8"/>
      <c r="C14" s="9"/>
      <c r="D14" s="8"/>
      <c r="E14" s="8"/>
    </row>
    <row r="15" customFormat="false" ht="15" hidden="false" customHeight="false" outlineLevel="0" collapsed="false">
      <c r="A15" s="8"/>
      <c r="B15" s="8"/>
      <c r="C15" s="9"/>
      <c r="D15" s="8"/>
      <c r="E15" s="8"/>
    </row>
    <row r="16" customFormat="false" ht="15" hidden="false" customHeight="false" outlineLevel="0" collapsed="false">
      <c r="A16" s="8"/>
      <c r="B16" s="8"/>
      <c r="C16" s="9"/>
      <c r="D16" s="8"/>
      <c r="E16" s="8"/>
    </row>
    <row r="17" customFormat="false" ht="15" hidden="false" customHeight="false" outlineLevel="0" collapsed="false">
      <c r="A17" s="8"/>
      <c r="B17" s="8"/>
      <c r="C17" s="9"/>
      <c r="D17" s="8"/>
      <c r="E17" s="8"/>
    </row>
    <row r="18" customFormat="false" ht="15" hidden="false" customHeight="false" outlineLevel="0" collapsed="false">
      <c r="A18" s="8"/>
      <c r="B18" s="8"/>
      <c r="C18" s="9"/>
      <c r="D18" s="8"/>
      <c r="E18" s="8"/>
    </row>
    <row r="19" customFormat="false" ht="15" hidden="false" customHeight="false" outlineLevel="0" collapsed="false">
      <c r="A19" s="8"/>
      <c r="B19" s="8"/>
      <c r="C19" s="9"/>
      <c r="D19" s="8"/>
      <c r="E19" s="8"/>
    </row>
    <row r="20" customFormat="false" ht="15" hidden="false" customHeight="false" outlineLevel="0" collapsed="false">
      <c r="A20" s="8"/>
      <c r="B20" s="8"/>
      <c r="C20" s="9"/>
      <c r="D20" s="8"/>
      <c r="E20" s="8"/>
    </row>
    <row r="21" customFormat="false" ht="15" hidden="false" customHeight="false" outlineLevel="0" collapsed="false">
      <c r="A21" s="8"/>
      <c r="B21" s="8"/>
      <c r="C21" s="9"/>
      <c r="D21" s="8"/>
      <c r="E21" s="8"/>
    </row>
    <row r="22" customFormat="false" ht="15" hidden="false" customHeight="false" outlineLevel="0" collapsed="false">
      <c r="A22" s="8"/>
      <c r="B22" s="8"/>
      <c r="C22" s="9"/>
      <c r="D22" s="8"/>
      <c r="E22" s="8"/>
    </row>
    <row r="23" customFormat="false" ht="15" hidden="false" customHeight="false" outlineLevel="0" collapsed="false">
      <c r="A23" s="8"/>
      <c r="B23" s="8"/>
      <c r="C23" s="9"/>
      <c r="D23" s="8"/>
      <c r="E23" s="8"/>
    </row>
    <row r="24" customFormat="false" ht="15" hidden="false" customHeight="false" outlineLevel="0" collapsed="false">
      <c r="A24" s="8"/>
      <c r="B24" s="8"/>
      <c r="C24" s="9"/>
      <c r="D24" s="8"/>
      <c r="E24" s="8"/>
    </row>
    <row r="26" customFormat="false" ht="15" hidden="false" customHeight="false" outlineLevel="0" collapsed="false">
      <c r="A26" s="2" t="s">
        <v>19</v>
      </c>
      <c r="B26" s="2"/>
      <c r="C26" s="2"/>
      <c r="D26" s="2"/>
      <c r="E26" s="2"/>
    </row>
  </sheetData>
  <mergeCells count="3">
    <mergeCell ref="A1:E1"/>
    <mergeCell ref="A2:E2"/>
    <mergeCell ref="A26:E26"/>
  </mergeCells>
  <conditionalFormatting sqref="D5:D24">
    <cfRule type="expression" priority="2" aboveAverage="0" equalAverage="0" bottom="0" percent="0" rank="0" text="" dxfId="0">
      <formula>D5=3</formula>
    </cfRule>
  </conditionalFormatting>
  <dataValidations count="2">
    <dataValidation allowBlank="true" errorStyle="stop" operator="between" showDropDown="false" showErrorMessage="false" showInputMessage="false" sqref="A5:A24" type="list">
      <formula1>"Base Goma - Logistique,Base Bunia - Santé,Base Uvira - WASH"</formula1>
      <formula2>0</formula2>
    </dataValidation>
    <dataValidation allowBlank="true" errorStyle="stop" operator="between" showDropDown="false" showErrorMessage="false" showInputMessage="false" sqref="D5:D24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30"/>
  </cols>
  <sheetData>
    <row r="1" customFormat="false" ht="27.75" hidden="false" customHeight="true" outlineLevel="0" collapsed="false">
      <c r="A1" s="1" t="s">
        <v>20</v>
      </c>
      <c r="B1" s="1"/>
      <c r="C1" s="1"/>
      <c r="D1" s="1"/>
    </row>
    <row r="2" customFormat="false" ht="15" hidden="false" customHeight="false" outlineLevel="0" collapsed="false">
      <c r="A2" s="2" t="s">
        <v>21</v>
      </c>
      <c r="B2" s="2"/>
      <c r="C2" s="2"/>
      <c r="D2" s="2"/>
    </row>
    <row r="4" customFormat="false" ht="15" hidden="false" customHeight="false" outlineLevel="0" collapsed="false">
      <c r="A4" s="10" t="s">
        <v>22</v>
      </c>
      <c r="C4" s="11" t="n">
        <f aca="false">MAX(Indicateurs!C5:C24)</f>
        <v>46239</v>
      </c>
    </row>
    <row r="6" customFormat="false" ht="31.5" hidden="false" customHeight="true" outlineLevel="0" collapsed="false">
      <c r="A6" s="3" t="s">
        <v>2</v>
      </c>
      <c r="B6" s="3" t="s">
        <v>23</v>
      </c>
      <c r="C6" s="3" t="s">
        <v>24</v>
      </c>
      <c r="D6" s="3" t="s">
        <v>25</v>
      </c>
    </row>
    <row r="7" customFormat="false" ht="24" hidden="false" customHeight="false" outlineLevel="0" collapsed="false">
      <c r="A7" s="4" t="s">
        <v>7</v>
      </c>
      <c r="B7" s="4" t="n">
        <f aca="false">COUNTIFS(Indicateurs!$A$5:$A$24,$A7,Indicateurs!$C$5:$C$24,"&gt;="&amp;($C$4-30),Indicateurs!$C$5:$C$24,"&lt;="&amp;$C$4)</f>
        <v>3</v>
      </c>
      <c r="C7" s="4" t="n">
        <f aca="false">SUMIFS(Indicateurs!$D$5:$D$24,Indicateurs!$A$5:$A$24,$A7,Indicateurs!$C$5:$C$24,"&gt;="&amp;($C$4-30),Indicateurs!$C$5:$C$24,"&lt;="&amp;$C$4)</f>
        <v>7</v>
      </c>
      <c r="D7" s="4" t="str">
        <f aca="false">IF(OR(B7&gt;=3,C7&gt;=6),"ESCALADE - INTERVENTION REQUISE",IF(OR(B7&gt;=2,C7&gt;=4),"A SURVEILLER DE PRES","NORMAL"))</f>
        <v>ESCALADE - INTERVENTION REQUISE</v>
      </c>
    </row>
    <row r="8" customFormat="false" ht="15" hidden="false" customHeight="false" outlineLevel="0" collapsed="false">
      <c r="A8" s="6" t="s">
        <v>13</v>
      </c>
      <c r="B8" s="6" t="n">
        <f aca="false">COUNTIFS(Indicateurs!$A$5:$A$24,$A8,Indicateurs!$C$5:$C$24,"&gt;="&amp;($C$4-30),Indicateurs!$C$5:$C$24,"&lt;="&amp;$C$4)</f>
        <v>1</v>
      </c>
      <c r="C8" s="6" t="n">
        <f aca="false">SUMIFS(Indicateurs!$D$5:$D$24,Indicateurs!$A$5:$A$24,$A8,Indicateurs!$C$5:$C$24,"&gt;="&amp;($C$4-30),Indicateurs!$C$5:$C$24,"&lt;="&amp;$C$4)</f>
        <v>1</v>
      </c>
      <c r="D8" s="6" t="str">
        <f aca="false">IF(OR(B8&gt;=3,C8&gt;=6),"ESCALADE - INTERVENTION REQUISE",IF(OR(B8&gt;=2,C8&gt;=4),"A SURVEILLER DE PRES","NORMAL"))</f>
        <v>NORMAL</v>
      </c>
    </row>
    <row r="9" customFormat="false" ht="15" hidden="false" customHeight="false" outlineLevel="0" collapsed="false">
      <c r="A9" s="4" t="s">
        <v>16</v>
      </c>
      <c r="B9" s="4" t="n">
        <f aca="false">COUNTIFS(Indicateurs!$A$5:$A$24,$A9,Indicateurs!$C$5:$C$24,"&gt;="&amp;($C$4-30),Indicateurs!$C$5:$C$24,"&lt;="&amp;$C$4)</f>
        <v>1</v>
      </c>
      <c r="C9" s="4" t="n">
        <f aca="false">SUMIFS(Indicateurs!$D$5:$D$24,Indicateurs!$A$5:$A$24,$A9,Indicateurs!$C$5:$C$24,"&gt;="&amp;($C$4-30),Indicateurs!$C$5:$C$24,"&lt;="&amp;$C$4)</f>
        <v>2</v>
      </c>
      <c r="D9" s="4" t="str">
        <f aca="false">IF(OR(B9&gt;=3,C9&gt;=6),"ESCALADE - INTERVENTION REQUISE",IF(OR(B9&gt;=2,C9&gt;=4),"A SURVEILLER DE PRES","NORMAL"))</f>
        <v>NORMAL</v>
      </c>
    </row>
    <row r="10" customFormat="false" ht="15" hidden="false" customHeight="false" outlineLevel="0" collapsed="false">
      <c r="A10" s="6"/>
      <c r="B10" s="6" t="str">
        <f aca="false">IF($A10="","",COUNTIFS(Indicateurs!$A$5:$A$24,$A10,Indicateurs!$C$5:$C$24,"&gt;="&amp;($C$4-30),Indicateurs!$C$5:$C$24,"&lt;="&amp;$C$4))</f>
        <v/>
      </c>
      <c r="C10" s="6" t="str">
        <f aca="false">IF($A10="","",SUMIFS(Indicateurs!$D$5:$D$24,Indicateurs!$A$5:$A$24,$A10,Indicateurs!$C$5:$C$24,"&gt;="&amp;($C$4-30),Indicateurs!$C$5:$C$24,"&lt;="&amp;$C$4))</f>
        <v/>
      </c>
      <c r="D10" s="6" t="str">
        <f aca="false">IF($A10="","",IF(OR(B10&gt;=3,C10&gt;=6),"ESCALADE - INTERVENTION REQUISE",IF(OR(B10&gt;=2,C10&gt;=4),"A SURVEILLER DE PRES","NORMAL")))</f>
        <v/>
      </c>
    </row>
    <row r="11" customFormat="false" ht="15" hidden="false" customHeight="false" outlineLevel="0" collapsed="false">
      <c r="A11" s="4"/>
      <c r="B11" s="4" t="str">
        <f aca="false">IF($A11="","",COUNTIFS(Indicateurs!$A$5:$A$24,$A11,Indicateurs!$C$5:$C$24,"&gt;="&amp;($C$4-30),Indicateurs!$C$5:$C$24,"&lt;="&amp;$C$4))</f>
        <v/>
      </c>
      <c r="C11" s="4" t="str">
        <f aca="false">IF($A11="","",SUMIFS(Indicateurs!$D$5:$D$24,Indicateurs!$A$5:$A$24,$A11,Indicateurs!$C$5:$C$24,"&gt;="&amp;($C$4-30),Indicateurs!$C$5:$C$24,"&lt;="&amp;$C$4))</f>
        <v/>
      </c>
      <c r="D11" s="4" t="str">
        <f aca="false">IF($A11="","",IF(OR(B11&gt;=3,C11&gt;=6),"ESCALADE - INTERVENTION REQUISE",IF(OR(B11&gt;=2,C11&gt;=4),"A SURVEILLER DE PRES","NORMAL")))</f>
        <v/>
      </c>
    </row>
    <row r="12" customFormat="false" ht="15" hidden="false" customHeight="false" outlineLevel="0" collapsed="false">
      <c r="A12" s="6"/>
      <c r="B12" s="6" t="str">
        <f aca="false">IF($A12="","",COUNTIFS(Indicateurs!$A$5:$A$24,$A12,Indicateurs!$C$5:$C$24,"&gt;="&amp;($C$4-30),Indicateurs!$C$5:$C$24,"&lt;="&amp;$C$4))</f>
        <v/>
      </c>
      <c r="C12" s="6" t="str">
        <f aca="false">IF($A12="","",SUMIFS(Indicateurs!$D$5:$D$24,Indicateurs!$A$5:$A$24,$A12,Indicateurs!$C$5:$C$24,"&gt;="&amp;($C$4-30),Indicateurs!$C$5:$C$24,"&lt;="&amp;$C$4))</f>
        <v/>
      </c>
      <c r="D12" s="6" t="str">
        <f aca="false">IF($A12="","",IF(OR(B12&gt;=3,C12&gt;=6),"ESCALADE - INTERVENTION REQUISE",IF(OR(B12&gt;=2,C12&gt;=4),"A SURVEILLER DE PRES","NORMAL")))</f>
        <v/>
      </c>
    </row>
    <row r="13" customFormat="false" ht="15" hidden="false" customHeight="false" outlineLevel="0" collapsed="false">
      <c r="A13" s="4"/>
      <c r="B13" s="4" t="str">
        <f aca="false">IF($A13="","",COUNTIFS(Indicateurs!$A$5:$A$24,$A13,Indicateurs!$C$5:$C$24,"&gt;="&amp;($C$4-30),Indicateurs!$C$5:$C$24,"&lt;="&amp;$C$4))</f>
        <v/>
      </c>
      <c r="C13" s="4" t="str">
        <f aca="false">IF($A13="","",SUMIFS(Indicateurs!$D$5:$D$24,Indicateurs!$A$5:$A$24,$A13,Indicateurs!$C$5:$C$24,"&gt;="&amp;($C$4-30),Indicateurs!$C$5:$C$24,"&lt;="&amp;$C$4))</f>
        <v/>
      </c>
      <c r="D13" s="4" t="str">
        <f aca="false">IF($A13="","",IF(OR(B13&gt;=3,C13&gt;=6),"ESCALADE - INTERVENTION REQUISE",IF(OR(B13&gt;=2,C13&gt;=4),"A SURVEILLER DE PRES","NORMAL")))</f>
        <v/>
      </c>
    </row>
    <row r="15" customFormat="false" ht="15" hidden="false" customHeight="false" outlineLevel="0" collapsed="false">
      <c r="A15" s="2" t="s">
        <v>26</v>
      </c>
      <c r="B15" s="2"/>
      <c r="C15" s="2"/>
      <c r="D15" s="2"/>
    </row>
  </sheetData>
  <mergeCells count="3">
    <mergeCell ref="A1:D1"/>
    <mergeCell ref="A2:D2"/>
    <mergeCell ref="A15:D15"/>
  </mergeCells>
  <conditionalFormatting sqref="D7:D13">
    <cfRule type="expression" priority="2" aboveAverage="0" equalAverage="0" bottom="0" percent="0" rank="0" text="" dxfId="0">
      <formula>$D7="ESCALADE - INTERVENTION REQUISE"</formula>
    </cfRule>
    <cfRule type="expression" priority="3" aboveAverage="0" equalAverage="0" bottom="0" percent="0" rank="0" text="" dxfId="1">
      <formula>$D7="A SURVEILLER DE PRES"</formula>
    </cfRule>
    <cfRule type="expression" priority="4" aboveAverage="0" equalAverage="0" bottom="0" percent="0" rank="0" text="" dxfId="2">
      <formula>$D7="NORMAL"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2026-09-09T23:16:57Z</dcterms:created>
  <dc:creator>openpyxl</dc:creator>
  <dc:description/>
  <dc:language>fr-FR</dc:language>
  <cp:lastModifiedBy/>
  <dcterms:modified xsi:type="dcterms:W3CDTF">2026-09-09T23:16:57Z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