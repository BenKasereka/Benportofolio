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ille" sheetId="1" state="visible" r:id="rId3"/>
    <sheet name="Synthè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<sst xmlns="http://schemas.openxmlformats.org/spreadsheetml/2006/main" count="39" uniqueCount="39">
  <si>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GRILLE DE VEILLE SECTORIELLE — PERPLEXITY</t>
  </si>
  <si>
    <t xml:space="preserve">Module 05 — Perplexity AI — Recherche temps réel &amp; veille stratégique — BK-BOOST Ltd.</t>
  </si>
  <si>
    <t xml:space="preserve">Sujet de veille</t>
  </si>
  <si>
    <t xml:space="preserve">Requête utilisée</t>
  </si>
  <si>
    <t xml:space="preserve">Date de dernière recherche</t>
  </si>
  <si>
    <t xml:space="preserve">Sources trouvées</t>
  </si>
  <si>
    <t xml:space="preserve">Fiabilité évaluée</t>
  </si>
  <si>
    <t xml:space="preserve">Action à prendre</t>
  </si>
  <si>
    <t xml:space="preserve">Alerte (&gt; 30 jours)</t>
  </si>
  <si>
    <t xml:space="preserve">Conformité USAID/BHA — reporting financier</t>
  </si>
  <si>
    <t xml:space="preserve">Évolutions conformité/reporting financier USAID/BHA, 6 derniers mois. Sources officielles BHA uniquement, citer la date de publication.</t>
  </si>
  <si>
    <t xml:space="preserve">2026-08-15</t>
  </si>
  <si>
    <t xml:space="preserve">Page officielle BHA Policy ; note de service BHA (PDF)</t>
  </si>
  <si>
    <t xml:space="preserve">Élevée</t>
  </si>
  <si>
    <t xml:space="preserve">Diffuser la note aux référents financiers du programme</t>
  </si>
  <si>
    <t xml:space="preserve">Conformité ECHO — éligibilité des dépenses</t>
  </si>
  <si>
    <t xml:space="preserve">Évolutions éligibilité des dépenses/justification ECHO, 6 derniers mois. Documentation officielle ECHO, citer la date de publication.</t>
  </si>
  <si>
    <t xml:space="preserve">2026-07-28</t>
  </si>
  <si>
    <t xml:space="preserve">Guide partenariat ECHO (site officiel) ; FAQ ECHO</t>
  </si>
  <si>
    <t xml:space="preserve">Moyenne — guide non daté explicitement, à reconfirmer</t>
  </si>
  <si>
    <t xml:space="preserve">Contacter le point focal ECHO pour confirmer la date d'application</t>
  </si>
  <si>
    <t xml:space="preserve">Veille concurrentielle — offres de formation IA sur le marché</t>
  </si>
  <si>
    <t xml:space="preserve">Nouvelles offres de formation pro à l'IA, dernier mois. Presse spécialisée et sites officiels des organismes, citer la date de publication.</t>
  </si>
  <si>
    <t xml:space="preserve">2026-08-01</t>
  </si>
  <si>
    <t xml:space="preserve">Article presse spécialisée ; page officielle d'un organisme concurrent</t>
  </si>
  <si>
    <t xml:space="preserve">Moyenne</t>
  </si>
  <si>
    <t xml:space="preserve">Analyser le positionnement tarifaire avant la prochaine révision de l'offre</t>
  </si>
  <si>
    <t xml:space="preserve">Légende : complétez les lignes vides ci-dessus (fond blanc). Les 3 premières lignes sont des exemples de référence. La colonne « Alerte » recalcule automatiquement à l'ouverture du fichier : « À relancer » signifie que la dernière recherche date de plus de 30 jours.</t>
  </si>
  <si>
    <t xml:space="preserve">SYNTHÈSE DE LA VEILLE</t>
  </si>
  <si>
    <t xml:space="preserve">Calculée automatiquement à partir de l'onglet Veille — ne pas modifier les formules.</t>
  </si>
  <si>
    <t xml:space="preserve">Indicateur</t>
  </si>
  <si>
    <t xml:space="preserve">Valeur</t>
  </si>
  <si>
    <t xml:space="preserve">Détail</t>
  </si>
  <si>
    <t xml:space="preserve">Sujets de veille actifs (non vides)</t>
  </si>
  <si>
    <t xml:space="preserve">Nombre de lignes avec un sujet renseigné</t>
  </si>
  <si>
    <t xml:space="preserve">Sujets à relancer (&gt; 30 jours)</t>
  </si>
  <si>
    <t xml:space="preserve">Recherches non renouvelées depuis plus de 30 jours</t>
  </si>
  <si>
    <t xml:space="preserve">Sujets évalués « Faible » ou « À vérifier »</t>
  </si>
  <si>
    <t xml:space="preserve">Fiabilité insuffisante — à revérifier avant usage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</si>
</sst>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7857"/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57.75" hidden="false" customHeight="tru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5" t="str">
        <f aca="true">IF(C5="","",IF(TODAY()-C5&gt;30,"À relancer","OK"))</f>
        <v>OK</v>
      </c>
    </row>
    <row r="6" customFormat="false" ht="57.75" hidden="false" customHeight="true" outlineLevel="0" collapsed="false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7" t="str">
        <f aca="true">IF(C6="","",IF(TODAY()-C6&gt;30,"À relancer","OK"))</f>
        <v>À relancer</v>
      </c>
    </row>
    <row r="7" customFormat="false" ht="57.75" hidden="false" customHeight="true" outlineLevel="0" collapsed="false">
      <c r="A7" s="4" t="s">
        <v>21</v>
      </c>
      <c r="B7" s="4" t="s">
        <v>22</v>
      </c>
      <c r="C7" s="4" t="s">
        <v>23</v>
      </c>
      <c r="D7" s="4" t="s">
        <v>24</v>
      </c>
      <c r="E7" s="4" t="s">
        <v>25</v>
      </c>
      <c r="F7" s="4" t="s">
        <v>26</v>
      </c>
      <c r="G7" s="5" t="str">
        <f aca="true">IF(C7="","",IF(TODAY()-C7&gt;30,"À relancer","OK"))</f>
        <v>À relancer</v>
      </c>
    </row>
    <row r="8" customFormat="false" ht="24" hidden="false" customHeight="true" outlineLevel="0" collapsed="false">
      <c r="A8" s="6"/>
      <c r="B8" s="6"/>
      <c r="C8" s="6"/>
      <c r="D8" s="6"/>
      <c r="E8" s="6"/>
      <c r="F8" s="6"/>
      <c r="G8" s="7" t="str">
        <f aca="true">IF(C8="","",IF(TODAY()-C8&gt;30,"À relancer","OK"))</f>
        <v/>
      </c>
    </row>
    <row r="9" customFormat="false" ht="24" hidden="false" customHeight="true" outlineLevel="0" collapsed="false">
      <c r="A9" s="4"/>
      <c r="B9" s="4"/>
      <c r="C9" s="4"/>
      <c r="D9" s="4"/>
      <c r="E9" s="4"/>
      <c r="F9" s="4"/>
      <c r="G9" s="5" t="str">
        <f aca="true">IF(C9="","",IF(TODAY()-C9&gt;30,"À relancer","OK"))</f>
        <v/>
      </c>
    </row>
    <row r="10" customFormat="false" ht="24" hidden="false" customHeight="true" outlineLevel="0" collapsed="false">
      <c r="A10" s="6"/>
      <c r="B10" s="6"/>
      <c r="C10" s="6"/>
      <c r="D10" s="6"/>
      <c r="E10" s="6"/>
      <c r="F10" s="6"/>
      <c r="G10" s="7" t="str">
        <f aca="true">IF(C10="","",IF(TODAY()-C10&gt;30,"À relancer","OK"))</f>
        <v/>
      </c>
    </row>
    <row r="11" customFormat="false" ht="24" hidden="false" customHeight="true" outlineLevel="0" collapsed="false">
      <c r="A11" s="4"/>
      <c r="B11" s="4"/>
      <c r="C11" s="4"/>
      <c r="D11" s="4"/>
      <c r="E11" s="4"/>
      <c r="F11" s="4"/>
      <c r="G11" s="5" t="str">
        <f aca="true">IF(C11="","",IF(TODAY()-C11&gt;30,"À relancer","OK"))</f>
        <v/>
      </c>
    </row>
    <row r="12" customFormat="false" ht="24" hidden="false" customHeight="true" outlineLevel="0" collapsed="false">
      <c r="A12" s="6"/>
      <c r="B12" s="6"/>
      <c r="C12" s="6"/>
      <c r="D12" s="6"/>
      <c r="E12" s="6"/>
      <c r="F12" s="6"/>
      <c r="G12" s="7" t="str">
        <f aca="true">IF(C12="","",IF(TODAY()-C12&gt;30,"À relancer","OK"))</f>
        <v/>
      </c>
    </row>
    <row r="13" customFormat="false" ht="24" hidden="false" customHeight="true" outlineLevel="0" collapsed="false">
      <c r="A13" s="4"/>
      <c r="B13" s="4"/>
      <c r="C13" s="4"/>
      <c r="D13" s="4"/>
      <c r="E13" s="4"/>
      <c r="F13" s="4"/>
      <c r="G13" s="5" t="str">
        <f aca="true">IF(C13="","",IF(TODAY()-C13&gt;30,"À relancer","OK"))</f>
        <v/>
      </c>
    </row>
    <row r="14" customFormat="false" ht="24" hidden="false" customHeight="true" outlineLevel="0" collapsed="false">
      <c r="A14" s="6"/>
      <c r="B14" s="6"/>
      <c r="C14" s="6"/>
      <c r="D14" s="6"/>
      <c r="E14" s="6"/>
      <c r="F14" s="6"/>
      <c r="G14" s="7" t="str">
        <f aca="true">IF(C14="","",IF(TODAY()-C14&gt;30,"À relancer","OK"))</f>
        <v/>
      </c>
    </row>
    <row r="15" customFormat="false" ht="24" hidden="false" customHeight="true" outlineLevel="0" collapsed="false">
      <c r="A15" s="4"/>
      <c r="B15" s="4"/>
      <c r="C15" s="4"/>
      <c r="D15" s="4"/>
      <c r="E15" s="4"/>
      <c r="F15" s="4"/>
      <c r="G15" s="5" t="str">
        <f aca="true">IF(C15="","",IF(TODAY()-C15&gt;30,"À relancer","OK"))</f>
        <v/>
      </c>
    </row>
    <row r="16" customFormat="false" ht="24" hidden="false" customHeight="true" outlineLevel="0" collapsed="false">
      <c r="A16" s="6"/>
      <c r="B16" s="6"/>
      <c r="C16" s="6"/>
      <c r="D16" s="6"/>
      <c r="E16" s="6"/>
      <c r="F16" s="6"/>
      <c r="G16" s="7" t="str">
        <f aca="true">IF(C16="","",IF(TODAY()-C16&gt;30,"À relancer","OK"))</f>
        <v/>
      </c>
    </row>
    <row r="17" customFormat="false" ht="24" hidden="false" customHeight="true" outlineLevel="0" collapsed="false">
      <c r="A17" s="4"/>
      <c r="B17" s="4"/>
      <c r="C17" s="4"/>
      <c r="D17" s="4"/>
      <c r="E17" s="4"/>
      <c r="F17" s="4"/>
      <c r="G17" s="5" t="str">
        <f aca="true">IF(C17="","",IF(TODAY()-C17&gt;30,"À relancer","OK"))</f>
        <v/>
      </c>
    </row>
    <row r="18" customFormat="false" ht="24" hidden="false" customHeight="true" outlineLevel="0" collapsed="false">
      <c r="A18" s="6"/>
      <c r="B18" s="6"/>
      <c r="C18" s="6"/>
      <c r="D18" s="6"/>
      <c r="E18" s="6"/>
      <c r="F18" s="6"/>
      <c r="G18" s="7" t="str">
        <f aca="true">IF(C18="","",IF(TODAY()-C18&gt;30,"À relancer","OK"))</f>
        <v/>
      </c>
    </row>
    <row r="19" customFormat="false" ht="24" hidden="false" customHeight="true" outlineLevel="0" collapsed="false">
      <c r="A19" s="4"/>
      <c r="B19" s="4"/>
      <c r="C19" s="4"/>
      <c r="D19" s="4"/>
      <c r="E19" s="4"/>
      <c r="F19" s="4"/>
      <c r="G19" s="5" t="str">
        <f aca="true">IF(C19="","",IF(TODAY()-C19&gt;30,"À relancer","OK"))</f>
        <v/>
      </c>
    </row>
    <row r="21" customFormat="false" ht="27.75" hidden="false" customHeight="true" outlineLevel="0" collapsed="false">
      <c r="A21" s="8" t="s">
        <v>27</v>
      </c>
      <c r="B21" s="8"/>
      <c r="C21" s="8"/>
      <c r="D21" s="8"/>
      <c r="E21" s="8"/>
      <c r="F21" s="8"/>
      <c r="G21" s="8"/>
    </row>
  </sheetData>
  <mergeCells count="3">
    <mergeCell ref="A1:G1"/>
    <mergeCell ref="A2:G2"/>
    <mergeCell ref="A21:G21"/>
  </mergeCells>
  <dataValidations count="1">
    <dataValidation allowBlank="true" errorStyle="stop" operator="between" showDropDown="false" showErrorMessage="false" showInputMessage="false" sqref="E5:E19" type="list">
      <formula1>"Élevée,Moyenne,Faible,À vérifier"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A8A"/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46"/>
  </cols>
  <sheetData>
    <row r="1" customFormat="false" ht="27.75" hidden="false" customHeight="true" outlineLevel="0" collapsed="false">
      <c r="A1" s="1" t="s">
        <v>28</v>
      </c>
      <c r="B1" s="1"/>
      <c r="C1" s="1"/>
    </row>
    <row r="2" customFormat="false" ht="15" hidden="false" customHeight="false" outlineLevel="0" collapsed="false">
      <c r="A2" s="2" t="s">
        <v>29</v>
      </c>
      <c r="B2" s="2"/>
      <c r="C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30</v>
      </c>
      <c r="B4" s="3" t="s">
        <v>31</v>
      </c>
      <c r="C4" s="3" t="s">
        <v>32</v>
      </c>
    </row>
    <row r="5" customFormat="false" ht="24" hidden="false" customHeight="true" outlineLevel="0" collapsed="false">
      <c r="A5" s="4" t="s">
        <v>33</v>
      </c>
      <c r="B5" s="9" t="n">
        <f aca="false">COUNTIF(Veille!$A$5:$A$19,"?*")</f>
        <v>3</v>
      </c>
      <c r="C5" s="4" t="s">
        <v>34</v>
      </c>
    </row>
    <row r="6" customFormat="false" ht="24" hidden="false" customHeight="true" outlineLevel="0" collapsed="false">
      <c r="A6" s="6" t="s">
        <v>35</v>
      </c>
      <c r="B6" s="10" t="n">
        <f aca="false">COUNTIF(Veille!$G$5:$G$19,"À relancer")</f>
        <v>2</v>
      </c>
      <c r="C6" s="6" t="s">
        <v>36</v>
      </c>
    </row>
    <row r="7" customFormat="false" ht="24" hidden="false" customHeight="true" outlineLevel="0" collapsed="false">
      <c r="A7" s="4" t="s">
        <v>37</v>
      </c>
      <c r="B7" s="9" t="n">
        <f aca="false">COUNTIF(Veille!$E$5:$E$19,"Faible")+COUNTIF(Veille!$E$5:$E$19,"À vérifier")</f>
        <v>0</v>
      </c>
      <c r="C7" s="4" t="s">
        <v>38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2026-09-10T06:45:05Z</dcterms:created>
  <dc:creator>openpyxl</dc:creator>
  <dc:description/>
  <dc:language>fr-FR</dc:language>
  <cp:lastModifiedBy/>
  <dcterms:modified xsi:type="dcterms:W3CDTF">2026-09-10T06:45:05Z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