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onnées brutes" sheetId="1" state="visible" r:id="rId3"/>
    <sheet name="Checklist nettoyag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<sst xmlns="http://schemas.openxmlformats.org/spreadsheetml/2006/main" count="119" uniqueCount="48">
  <si>
    <t xml:space="preserve">GRILLE DE DIAGNOSTIC &amp; NETTOYAGE DE DONNÉES</t>
  </si>
  <si>
    <t xml:space="preserve">Module 10 — IA pour la Data &amp; l'Analyse — BK-BOOST Ltd. — Feuille 1/2 : jeu de données brut + diagnostic par formule</t>
  </si>
  <si>
    <t xml:space="preserve">Date</t>
  </si>
  <si>
    <t xml:space="preserve">Fournisseur</t>
  </si>
  <si>
    <t xml:space="preserve">Catégorie</t>
  </si>
  <si>
    <t xml:space="preserve">Montant (USD)</t>
  </si>
  <si>
    <t xml:space="preserve">Site</t>
  </si>
  <si>
    <t xml:space="preserve">Doublon détecté</t>
  </si>
  <si>
    <t xml:space="preserve">Valeur manquante</t>
  </si>
  <si>
    <t xml:space="preserve">Format date incohérent</t>
  </si>
  <si>
    <t xml:space="preserve">Score qualité ligne</t>
  </si>
  <si>
    <t xml:space="preserve">Commentaire</t>
  </si>
  <si>
    <t xml:space="preserve">Transco Sarl</t>
  </si>
  <si>
    <t xml:space="preserve">Transport routier</t>
  </si>
  <si>
    <t xml:space="preserve">Goma</t>
  </si>
  <si>
    <t xml:space="preserve">Kivu Freight Co</t>
  </si>
  <si>
    <t xml:space="preserve">Entreposage</t>
  </si>
  <si>
    <t xml:space="preserve">Bukavu</t>
  </si>
  <si>
    <t xml:space="preserve">Alpha Logistics</t>
  </si>
  <si>
    <t xml:space="preserve">Dédouanement</t>
  </si>
  <si>
    <t xml:space="preserve">Beta Supply</t>
  </si>
  <si>
    <t xml:space="preserve">Kinshasa</t>
  </si>
  <si>
    <t xml:space="preserve">12-Mar-26</t>
  </si>
  <si>
    <t xml:space="preserve">2026/04/02</t>
  </si>
  <si>
    <t xml:space="preserve">transco sarl </t>
  </si>
  <si>
    <t xml:space="preserve">Note : la ligne "transco sarl " (minuscules + espace final) n'est pas comptée comme doublon par les formules ci-dessus car elle diffère techniquement de "Transco Sarl" — c'est exactement le type d'anomalie qu'une vérification manuelle ou un prompt de diagnostic IA doit repérer en plus des formules. Voir feuille "Checklist nettoyage", ligne "Incohérence de casse / espaces".</t>
  </si>
  <si>
    <t xml:space="preserve">CHECKLIST DE NETTOYAGE DE DONNÉES RÉUTILISABLE</t>
  </si>
  <si>
    <t xml:space="preserve">Module 10 — IA pour la Data &amp; l'Analyse — BK-BOOST Ltd. — Feuille 2/2 : grille méthode par type de problème</t>
  </si>
  <si>
    <t xml:space="preserve">Type de problème</t>
  </si>
  <si>
    <t xml:space="preserve">Méthode de détection</t>
  </si>
  <si>
    <t xml:space="preserve">Méthode de correction</t>
  </si>
  <si>
    <t xml:space="preserve">Statut</t>
  </si>
  <si>
    <t xml:space="preserve">Doublon exact (ligne répétée)</t>
  </si>
  <si>
    <t xml:space="preserve">Formule COUNTIFS sur les colonnes clés (date + fournisseur + montant + site) ; ou prompt IA de diagnostic (Prompt 1, section Outils de ce module).</t>
  </si>
  <si>
    <t xml:space="preserve">Supprimer les lignes en surplus après vérification manuelle d'un échantillon ; ne jamais supprimer en masse sans relecture.</t>
  </si>
  <si>
    <t xml:space="preserve">À faire</t>
  </si>
  <si>
    <t xml:space="preserve">Valeur manquante (cellule vide)</t>
  </si>
  <si>
    <t xml:space="preserve">Formule =SI(cellule="";"Oui";"Non") sur la colonne concernée ; filtre Excel sur les cellules vides.</t>
  </si>
  <si>
    <t xml:space="preserve">Compléter si la source existe (facture, bon de commande) ; sinon marquer explicitement "Non renseigné", jamais laisser vide ni mettre 0 par défaut.</t>
  </si>
  <si>
    <t xml:space="preserve">Format de date incohérent</t>
  </si>
  <si>
    <t xml:space="preserve">Test ISNUMBER() sur la cellule ; une date correctement reconnue par Excel est numérique, une date en texte ne l'est pas.</t>
  </si>
  <si>
    <t xml:space="preserve">Étape Power Query "Modifier le type" avec paramètre régional explicite ; ou colonne recalculée avec DATEVALUE().</t>
  </si>
  <si>
    <t xml:space="preserve">Incohérence de casse / espaces (ex. "Transco Sarl" vs "transco sarl ")</t>
  </si>
  <si>
    <t xml:space="preserve">Formule =EXACT() entre deux libellés supposés identiques ; ou tri alphabétique qui sépare visuellement les variantes.</t>
  </si>
  <si>
    <t xml:space="preserve">Fonction NOMPROPRE()+SUPPRESPACE() pour uniformiser ; ou étape Power Query "Nettoyer" + "Mettre en majuscules/minuscules".</t>
  </si>
  <si>
    <t xml:space="preserve">Colonne inutile ou redondante</t>
  </si>
  <si>
    <t xml:space="preserve">Revue manuelle des en-têtes de colonnes avec la question de gestion en tête : cette colonne sert-elle à répondre à la question ?</t>
  </si>
  <si>
    <t xml:space="preserve">Masquer ou supprimer la colonne dans une copie de travail ; conserver le fichier source original intact.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</si>
</sst>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7" min="6" style="1" width="14"/>
    <col collapsed="false" customWidth="true" hidden="false" outlineLevel="0" max="8" min="8" style="1" width="18"/>
    <col collapsed="false" customWidth="true" hidden="false" outlineLevel="0" max="9" min="9" style="1" width="14"/>
    <col collapsed="false" customWidth="true" hidden="false" outlineLevel="0" max="10" min="10" style="1" width="30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5" t="n">
        <v>46027</v>
      </c>
      <c r="B5" s="6" t="s">
        <v>12</v>
      </c>
      <c r="C5" s="6" t="s">
        <v>13</v>
      </c>
      <c r="D5" s="7" t="n">
        <v>4200</v>
      </c>
      <c r="E5" s="6" t="s">
        <v>14</v>
      </c>
      <c r="F5" s="7" t="str">
        <f aca="false">IF(COUNTIFS($A$5:$A$30,A5,$B$5:$B$30,B5,$C$5:$C$30,C5,$D$5:$D$30,D5,$E$5:$E$30,E5)&gt;1,"Oui","Non")</f>
        <v>Non</v>
      </c>
      <c r="G5" s="7" t="str">
        <f aca="false">IF(D5="","Oui","Non")</f>
        <v>Non</v>
      </c>
      <c r="H5" s="7" t="str">
        <f aca="false">IF(ISNUMBER(A5),"Non","Oui")</f>
        <v>Non</v>
      </c>
      <c r="I5" s="7" t="n">
        <f aca="false">MAX(0,100-IF(F5="Oui",34,0)-IF(G5="Oui",34,0)-IF(H5="Oui",32,0))</f>
        <v>100</v>
      </c>
      <c r="J5" s="6" t="str">
        <f aca="false">IF(AND(F5="Non",G5="Non",H5="Non"),"OK",TRIM(CONCATENATE(IF(F5="Oui","Doublon probable. ",""),IF(G5="Oui","Montant manquant. ",""),IF(H5="Oui","Format de date à corriger. ",""))))</f>
        <v>OK</v>
      </c>
    </row>
    <row r="6" customFormat="false" ht="15" hidden="false" customHeight="true" outlineLevel="0" collapsed="false">
      <c r="A6" s="8" t="n">
        <v>46030</v>
      </c>
      <c r="B6" s="9" t="s">
        <v>15</v>
      </c>
      <c r="C6" s="9" t="s">
        <v>16</v>
      </c>
      <c r="D6" s="10" t="n">
        <v>1850</v>
      </c>
      <c r="E6" s="9" t="s">
        <v>17</v>
      </c>
      <c r="F6" s="10" t="str">
        <f aca="false">IF(COUNTIFS($A$5:$A$30,A6,$B$5:$B$30,B6,$C$5:$C$30,C6,$D$5:$D$30,D6,$E$5:$E$30,E6)&gt;1,"Oui","Non")</f>
        <v>Non</v>
      </c>
      <c r="G6" s="10" t="str">
        <f aca="false">IF(D6="","Oui","Non")</f>
        <v>Non</v>
      </c>
      <c r="H6" s="10" t="str">
        <f aca="false">IF(ISNUMBER(A6),"Non","Oui")</f>
        <v>Non</v>
      </c>
      <c r="I6" s="10" t="n">
        <f aca="false">MAX(0,100-IF(F6="Oui",34,0)-IF(G6="Oui",34,0)-IF(H6="Oui",32,0))</f>
        <v>100</v>
      </c>
      <c r="J6" s="9" t="str">
        <f aca="false">IF(AND(F6="Non",G6="Non",H6="Non"),"OK",TRIM(CONCATENATE(IF(F6="Oui","Doublon probable. ",""),IF(G6="Oui","Montant manquant. ",""),IF(H6="Oui","Format de date à corriger. ",""))))</f>
        <v>OK</v>
      </c>
    </row>
    <row r="7" customFormat="false" ht="15" hidden="false" customHeight="true" outlineLevel="0" collapsed="false">
      <c r="A7" s="5" t="n">
        <v>46036</v>
      </c>
      <c r="B7" s="6" t="s">
        <v>18</v>
      </c>
      <c r="C7" s="6" t="s">
        <v>13</v>
      </c>
      <c r="D7" s="7" t="n">
        <v>3100</v>
      </c>
      <c r="E7" s="6" t="s">
        <v>14</v>
      </c>
      <c r="F7" s="7" t="str">
        <f aca="false">IF(COUNTIFS($A$5:$A$30,A7,$B$5:$B$30,B7,$C$5:$C$30,C7,$D$5:$D$30,D7,$E$5:$E$30,E7)&gt;1,"Oui","Non")</f>
        <v>Non</v>
      </c>
      <c r="G7" s="7" t="str">
        <f aca="false">IF(D7="","Oui","Non")</f>
        <v>Non</v>
      </c>
      <c r="H7" s="7" t="str">
        <f aca="false">IF(ISNUMBER(A7),"Non","Oui")</f>
        <v>Non</v>
      </c>
      <c r="I7" s="7" t="n">
        <f aca="false">MAX(0,100-IF(F7="Oui",34,0)-IF(G7="Oui",34,0)-IF(H7="Oui",32,0))</f>
        <v>100</v>
      </c>
      <c r="J7" s="6" t="str">
        <f aca="false">IF(AND(F7="Non",G7="Non",H7="Non"),"OK",TRIM(CONCATENATE(IF(F7="Oui","Doublon probable. ",""),IF(G7="Oui","Montant manquant. ",""),IF(H7="Oui","Format de date à corriger. ",""))))</f>
        <v>OK</v>
      </c>
    </row>
    <row r="8" customFormat="false" ht="15" hidden="false" customHeight="true" outlineLevel="0" collapsed="false">
      <c r="A8" s="8" t="n">
        <v>46042</v>
      </c>
      <c r="B8" s="9" t="s">
        <v>12</v>
      </c>
      <c r="C8" s="9" t="s">
        <v>19</v>
      </c>
      <c r="D8" s="10" t="n">
        <v>900</v>
      </c>
      <c r="E8" s="9" t="s">
        <v>14</v>
      </c>
      <c r="F8" s="10" t="str">
        <f aca="false">IF(COUNTIFS($A$5:$A$30,A8,$B$5:$B$30,B8,$C$5:$C$30,C8,$D$5:$D$30,D8,$E$5:$E$30,E8)&gt;1,"Oui","Non")</f>
        <v>Non</v>
      </c>
      <c r="G8" s="10" t="str">
        <f aca="false">IF(D8="","Oui","Non")</f>
        <v>Non</v>
      </c>
      <c r="H8" s="10" t="str">
        <f aca="false">IF(ISNUMBER(A8),"Non","Oui")</f>
        <v>Non</v>
      </c>
      <c r="I8" s="10" t="n">
        <f aca="false">MAX(0,100-IF(F8="Oui",34,0)-IF(G8="Oui",34,0)-IF(H8="Oui",32,0))</f>
        <v>100</v>
      </c>
      <c r="J8" s="9" t="str">
        <f aca="false">IF(AND(F8="Non",G8="Non",H8="Non"),"OK",TRIM(CONCATENATE(IF(F8="Oui","Doublon probable. ",""),IF(G8="Oui","Montant manquant. ",""),IF(H8="Oui","Format de date à corriger. ",""))))</f>
        <v>OK</v>
      </c>
    </row>
    <row r="9" customFormat="false" ht="15" hidden="false" customHeight="true" outlineLevel="0" collapsed="false">
      <c r="A9" s="5" t="n">
        <v>46049</v>
      </c>
      <c r="B9" s="6" t="s">
        <v>20</v>
      </c>
      <c r="C9" s="6" t="s">
        <v>16</v>
      </c>
      <c r="D9" s="7" t="n">
        <v>2200</v>
      </c>
      <c r="E9" s="6" t="s">
        <v>17</v>
      </c>
      <c r="F9" s="7" t="str">
        <f aca="false">IF(COUNTIFS($A$5:$A$30,A9,$B$5:$B$30,B9,$C$5:$C$30,C9,$D$5:$D$30,D9,$E$5:$E$30,E9)&gt;1,"Oui","Non")</f>
        <v>Non</v>
      </c>
      <c r="G9" s="7" t="str">
        <f aca="false">IF(D9="","Oui","Non")</f>
        <v>Non</v>
      </c>
      <c r="H9" s="7" t="str">
        <f aca="false">IF(ISNUMBER(A9),"Non","Oui")</f>
        <v>Non</v>
      </c>
      <c r="I9" s="7" t="n">
        <f aca="false">MAX(0,100-IF(F9="Oui",34,0)-IF(G9="Oui",34,0)-IF(H9="Oui",32,0))</f>
        <v>100</v>
      </c>
      <c r="J9" s="6" t="str">
        <f aca="false">IF(AND(F9="Non",G9="Non",H9="Non"),"OK",TRIM(CONCATENATE(IF(F9="Oui","Doublon probable. ",""),IF(G9="Oui","Montant manquant. ",""),IF(H9="Oui","Format de date à corriger. ",""))))</f>
        <v>OK</v>
      </c>
    </row>
    <row r="10" customFormat="false" ht="15" hidden="false" customHeight="true" outlineLevel="0" collapsed="false">
      <c r="A10" s="8" t="n">
        <v>46056</v>
      </c>
      <c r="B10" s="9" t="s">
        <v>15</v>
      </c>
      <c r="C10" s="9" t="s">
        <v>13</v>
      </c>
      <c r="D10" s="10" t="n">
        <v>3950</v>
      </c>
      <c r="E10" s="9" t="s">
        <v>21</v>
      </c>
      <c r="F10" s="10" t="str">
        <f aca="false">IF(COUNTIFS($A$5:$A$30,A10,$B$5:$B$30,B10,$C$5:$C$30,C10,$D$5:$D$30,D10,$E$5:$E$30,E10)&gt;1,"Oui","Non")</f>
        <v>Non</v>
      </c>
      <c r="G10" s="10" t="str">
        <f aca="false">IF(D10="","Oui","Non")</f>
        <v>Non</v>
      </c>
      <c r="H10" s="10" t="str">
        <f aca="false">IF(ISNUMBER(A10),"Non","Oui")</f>
        <v>Non</v>
      </c>
      <c r="I10" s="10" t="n">
        <f aca="false">MAX(0,100-IF(F10="Oui",34,0)-IF(G10="Oui",34,0)-IF(H10="Oui",32,0))</f>
        <v>100</v>
      </c>
      <c r="J10" s="9" t="str">
        <f aca="false">IF(AND(F10="Non",G10="Non",H10="Non"),"OK",TRIM(CONCATENATE(IF(F10="Oui","Doublon probable. ",""),IF(G10="Oui","Montant manquant. ",""),IF(H10="Oui","Format de date à corriger. ",""))))</f>
        <v>OK</v>
      </c>
    </row>
    <row r="11" customFormat="false" ht="15" hidden="false" customHeight="true" outlineLevel="0" collapsed="false">
      <c r="A11" s="5" t="n">
        <v>46062</v>
      </c>
      <c r="B11" s="6" t="s">
        <v>18</v>
      </c>
      <c r="C11" s="6" t="s">
        <v>19</v>
      </c>
      <c r="D11" s="7" t="n">
        <v>1200</v>
      </c>
      <c r="E11" s="6" t="s">
        <v>14</v>
      </c>
      <c r="F11" s="7" t="str">
        <f aca="false">IF(COUNTIFS($A$5:$A$30,A11,$B$5:$B$30,B11,$C$5:$C$30,C11,$D$5:$D$30,D11,$E$5:$E$30,E11)&gt;1,"Oui","Non")</f>
        <v>Non</v>
      </c>
      <c r="G11" s="7" t="str">
        <f aca="false">IF(D11="","Oui","Non")</f>
        <v>Non</v>
      </c>
      <c r="H11" s="7" t="str">
        <f aca="false">IF(ISNUMBER(A11),"Non","Oui")</f>
        <v>Non</v>
      </c>
      <c r="I11" s="7" t="n">
        <f aca="false">MAX(0,100-IF(F11="Oui",34,0)-IF(G11="Oui",34,0)-IF(H11="Oui",32,0))</f>
        <v>100</v>
      </c>
      <c r="J11" s="6" t="str">
        <f aca="false">IF(AND(F11="Non",G11="Non",H11="Non"),"OK",TRIM(CONCATENATE(IF(F11="Oui","Doublon probable. ",""),IF(G11="Oui","Montant manquant. ",""),IF(H11="Oui","Format de date à corriger. ",""))))</f>
        <v>OK</v>
      </c>
    </row>
    <row r="12" customFormat="false" ht="15" hidden="false" customHeight="true" outlineLevel="0" collapsed="false">
      <c r="A12" s="8" t="n">
        <v>46068</v>
      </c>
      <c r="B12" s="9" t="s">
        <v>12</v>
      </c>
      <c r="C12" s="9" t="s">
        <v>13</v>
      </c>
      <c r="D12" s="10" t="n">
        <v>4600</v>
      </c>
      <c r="E12" s="9" t="s">
        <v>14</v>
      </c>
      <c r="F12" s="10" t="str">
        <f aca="false">IF(COUNTIFS($A$5:$A$30,A12,$B$5:$B$30,B12,$C$5:$C$30,C12,$D$5:$D$30,D12,$E$5:$E$30,E12)&gt;1,"Oui","Non")</f>
        <v>Non</v>
      </c>
      <c r="G12" s="10" t="str">
        <f aca="false">IF(D12="","Oui","Non")</f>
        <v>Non</v>
      </c>
      <c r="H12" s="10" t="str">
        <f aca="false">IF(ISNUMBER(A12),"Non","Oui")</f>
        <v>Non</v>
      </c>
      <c r="I12" s="10" t="n">
        <f aca="false">MAX(0,100-IF(F12="Oui",34,0)-IF(G12="Oui",34,0)-IF(H12="Oui",32,0))</f>
        <v>100</v>
      </c>
      <c r="J12" s="9" t="str">
        <f aca="false">IF(AND(F12="Non",G12="Non",H12="Non"),"OK",TRIM(CONCATENATE(IF(F12="Oui","Doublon probable. ",""),IF(G12="Oui","Montant manquant. ",""),IF(H12="Oui","Format de date à corriger. ",""))))</f>
        <v>OK</v>
      </c>
    </row>
    <row r="13" customFormat="false" ht="15" hidden="false" customHeight="true" outlineLevel="0" collapsed="false">
      <c r="A13" s="5" t="n">
        <v>46075</v>
      </c>
      <c r="B13" s="6" t="s">
        <v>20</v>
      </c>
      <c r="C13" s="6" t="s">
        <v>13</v>
      </c>
      <c r="D13" s="7" t="n">
        <v>2750</v>
      </c>
      <c r="E13" s="6" t="s">
        <v>17</v>
      </c>
      <c r="F13" s="7" t="str">
        <f aca="false">IF(COUNTIFS($A$5:$A$30,A13,$B$5:$B$30,B13,$C$5:$C$30,C13,$D$5:$D$30,D13,$E$5:$E$30,E13)&gt;1,"Oui","Non")</f>
        <v>Non</v>
      </c>
      <c r="G13" s="7" t="str">
        <f aca="false">IF(D13="","Oui","Non")</f>
        <v>Non</v>
      </c>
      <c r="H13" s="7" t="str">
        <f aca="false">IF(ISNUMBER(A13),"Non","Oui")</f>
        <v>Non</v>
      </c>
      <c r="I13" s="7" t="n">
        <f aca="false">MAX(0,100-IF(F13="Oui",34,0)-IF(G13="Oui",34,0)-IF(H13="Oui",32,0))</f>
        <v>100</v>
      </c>
      <c r="J13" s="6" t="str">
        <f aca="false">IF(AND(F13="Non",G13="Non",H13="Non"),"OK",TRIM(CONCATENATE(IF(F13="Oui","Doublon probable. ",""),IF(G13="Oui","Montant manquant. ",""),IF(H13="Oui","Format de date à corriger. ",""))))</f>
        <v>OK</v>
      </c>
    </row>
    <row r="14" customFormat="false" ht="15" hidden="false" customHeight="true" outlineLevel="0" collapsed="false">
      <c r="A14" s="8" t="n">
        <v>46093</v>
      </c>
      <c r="B14" s="9" t="s">
        <v>12</v>
      </c>
      <c r="C14" s="9" t="s">
        <v>16</v>
      </c>
      <c r="D14" s="10" t="n">
        <v>3300</v>
      </c>
      <c r="E14" s="9" t="s">
        <v>14</v>
      </c>
      <c r="F14" s="10" t="str">
        <f aca="false">IF(COUNTIFS($A$5:$A$30,A14,$B$5:$B$30,B14,$C$5:$C$30,C14,$D$5:$D$30,D14,$E$5:$E$30,E14)&gt;1,"Oui","Non")</f>
        <v>Oui</v>
      </c>
      <c r="G14" s="10" t="str">
        <f aca="false">IF(D14="","Oui","Non")</f>
        <v>Non</v>
      </c>
      <c r="H14" s="10" t="str">
        <f aca="false">IF(ISNUMBER(A14),"Non","Oui")</f>
        <v>Non</v>
      </c>
      <c r="I14" s="10" t="n">
        <f aca="false">MAX(0,100-IF(F14="Oui",34,0)-IF(G14="Oui",34,0)-IF(H14="Oui",32,0))</f>
        <v>66</v>
      </c>
      <c r="J14" s="9" t="str">
        <f aca="false">IF(AND(F14="Non",G14="Non",H14="Non"),"OK",TRIM(CONCATENATE(IF(F14="Oui","Doublon probable. ",""),IF(G14="Oui","Montant manquant. ",""),IF(H14="Oui","Format de date à corriger. ",""))))</f>
        <v>Doublon probable.</v>
      </c>
    </row>
    <row r="15" customFormat="false" ht="15" hidden="false" customHeight="true" outlineLevel="0" collapsed="false">
      <c r="A15" s="5" t="n">
        <v>46093</v>
      </c>
      <c r="B15" s="6" t="s">
        <v>12</v>
      </c>
      <c r="C15" s="6" t="s">
        <v>16</v>
      </c>
      <c r="D15" s="7" t="n">
        <v>3300</v>
      </c>
      <c r="E15" s="6" t="s">
        <v>14</v>
      </c>
      <c r="F15" s="7" t="str">
        <f aca="false">IF(COUNTIFS($A$5:$A$30,A15,$B$5:$B$30,B15,$C$5:$C$30,C15,$D$5:$D$30,D15,$E$5:$E$30,E15)&gt;1,"Oui","Non")</f>
        <v>Oui</v>
      </c>
      <c r="G15" s="7" t="str">
        <f aca="false">IF(D15="","Oui","Non")</f>
        <v>Non</v>
      </c>
      <c r="H15" s="7" t="str">
        <f aca="false">IF(ISNUMBER(A15),"Non","Oui")</f>
        <v>Non</v>
      </c>
      <c r="I15" s="7" t="n">
        <f aca="false">MAX(0,100-IF(F15="Oui",34,0)-IF(G15="Oui",34,0)-IF(H15="Oui",32,0))</f>
        <v>66</v>
      </c>
      <c r="J15" s="6" t="str">
        <f aca="false">IF(AND(F15="Non",G15="Non",H15="Non"),"OK",TRIM(CONCATENATE(IF(F15="Oui","Doublon probable. ",""),IF(G15="Oui","Montant manquant. ",""),IF(H15="Oui","Format de date à corriger. ",""))))</f>
        <v>Doublon probable.</v>
      </c>
    </row>
    <row r="16" customFormat="false" ht="15" hidden="false" customHeight="true" outlineLevel="0" collapsed="false">
      <c r="A16" s="9" t="s">
        <v>22</v>
      </c>
      <c r="B16" s="9" t="s">
        <v>15</v>
      </c>
      <c r="C16" s="9" t="s">
        <v>13</v>
      </c>
      <c r="D16" s="10"/>
      <c r="E16" s="9" t="s">
        <v>14</v>
      </c>
      <c r="F16" s="10" t="str">
        <f aca="false">IF(COUNTIFS($A$5:$A$30,A16,$B$5:$B$30,B16,$C$5:$C$30,C16,$D$5:$D$30,D16,$E$5:$E$30,E16)&gt;1,"Oui","Non")</f>
        <v>Non</v>
      </c>
      <c r="G16" s="10" t="str">
        <f aca="false">IF(D16="","Oui","Non")</f>
        <v>Oui</v>
      </c>
      <c r="H16" s="10" t="str">
        <f aca="false">IF(ISNUMBER(A16),"Non","Oui")</f>
        <v>Oui</v>
      </c>
      <c r="I16" s="10" t="n">
        <f aca="false">MAX(0,100-IF(F16="Oui",34,0)-IF(G16="Oui",34,0)-IF(H16="Oui",32,0))</f>
        <v>34</v>
      </c>
      <c r="J16" s="9" t="str">
        <f aca="false">IF(AND(F16="Non",G16="Non",H16="Non"),"OK",TRIM(CONCATENATE(IF(F16="Oui","Doublon probable. ",""),IF(G16="Oui","Montant manquant. ",""),IF(H16="Oui","Format de date à corriger. ",""))))</f>
        <v>Montant manquant. Format de date à corriger.</v>
      </c>
    </row>
    <row r="17" customFormat="false" ht="15" hidden="false" customHeight="true" outlineLevel="0" collapsed="false">
      <c r="A17" s="5" t="n">
        <v>46100</v>
      </c>
      <c r="B17" s="6" t="s">
        <v>18</v>
      </c>
      <c r="C17" s="6" t="s">
        <v>13</v>
      </c>
      <c r="D17" s="7" t="n">
        <v>3400</v>
      </c>
      <c r="E17" s="6" t="s">
        <v>21</v>
      </c>
      <c r="F17" s="7" t="str">
        <f aca="false">IF(COUNTIFS($A$5:$A$30,A17,$B$5:$B$30,B17,$C$5:$C$30,C17,$D$5:$D$30,D17,$E$5:$E$30,E17)&gt;1,"Oui","Non")</f>
        <v>Non</v>
      </c>
      <c r="G17" s="7" t="str">
        <f aca="false">IF(D17="","Oui","Non")</f>
        <v>Non</v>
      </c>
      <c r="H17" s="7" t="str">
        <f aca="false">IF(ISNUMBER(A17),"Non","Oui")</f>
        <v>Non</v>
      </c>
      <c r="I17" s="7" t="n">
        <f aca="false">MAX(0,100-IF(F17="Oui",34,0)-IF(G17="Oui",34,0)-IF(H17="Oui",32,0))</f>
        <v>100</v>
      </c>
      <c r="J17" s="6" t="str">
        <f aca="false">IF(AND(F17="Non",G17="Non",H17="Non"),"OK",TRIM(CONCATENATE(IF(F17="Oui","Doublon probable. ",""),IF(G17="Oui","Montant manquant. ",""),IF(H17="Oui","Format de date à corriger. ",""))))</f>
        <v>OK</v>
      </c>
    </row>
    <row r="18" customFormat="false" ht="15" hidden="false" customHeight="true" outlineLevel="0" collapsed="false">
      <c r="A18" s="8" t="n">
        <v>46107</v>
      </c>
      <c r="B18" s="9" t="s">
        <v>20</v>
      </c>
      <c r="C18" s="9" t="s">
        <v>19</v>
      </c>
      <c r="D18" s="10" t="n">
        <v>1100</v>
      </c>
      <c r="E18" s="9" t="s">
        <v>17</v>
      </c>
      <c r="F18" s="10" t="str">
        <f aca="false">IF(COUNTIFS($A$5:$A$30,A18,$B$5:$B$30,B18,$C$5:$C$30,C18,$D$5:$D$30,D18,$E$5:$E$30,E18)&gt;1,"Oui","Non")</f>
        <v>Non</v>
      </c>
      <c r="G18" s="10" t="str">
        <f aca="false">IF(D18="","Oui","Non")</f>
        <v>Non</v>
      </c>
      <c r="H18" s="10" t="str">
        <f aca="false">IF(ISNUMBER(A18),"Non","Oui")</f>
        <v>Non</v>
      </c>
      <c r="I18" s="10" t="n">
        <f aca="false">MAX(0,100-IF(F18="Oui",34,0)-IF(G18="Oui",34,0)-IF(H18="Oui",32,0))</f>
        <v>100</v>
      </c>
      <c r="J18" s="9" t="str">
        <f aca="false">IF(AND(F18="Non",G18="Non",H18="Non"),"OK",TRIM(CONCATENATE(IF(F18="Oui","Doublon probable. ",""),IF(G18="Oui","Montant manquant. ",""),IF(H18="Oui","Format de date à corriger. ",""))))</f>
        <v>OK</v>
      </c>
    </row>
    <row r="19" customFormat="false" ht="15" hidden="false" customHeight="true" outlineLevel="0" collapsed="false">
      <c r="A19" s="6" t="s">
        <v>23</v>
      </c>
      <c r="B19" s="6" t="s">
        <v>12</v>
      </c>
      <c r="C19" s="6" t="s">
        <v>13</v>
      </c>
      <c r="D19" s="7" t="n">
        <v>5100</v>
      </c>
      <c r="E19" s="6" t="s">
        <v>14</v>
      </c>
      <c r="F19" s="7" t="str">
        <f aca="false">IF(COUNTIFS($A$5:$A$30,A19,$B$5:$B$30,B19,$C$5:$C$30,C19,$D$5:$D$30,D19,$E$5:$E$30,E19)&gt;1,"Oui","Non")</f>
        <v>Non</v>
      </c>
      <c r="G19" s="7" t="str">
        <f aca="false">IF(D19="","Oui","Non")</f>
        <v>Non</v>
      </c>
      <c r="H19" s="7" t="str">
        <f aca="false">IF(ISNUMBER(A19),"Non","Oui")</f>
        <v>Oui</v>
      </c>
      <c r="I19" s="7" t="n">
        <f aca="false">MAX(0,100-IF(F19="Oui",34,0)-IF(G19="Oui",34,0)-IF(H19="Oui",32,0))</f>
        <v>68</v>
      </c>
      <c r="J19" s="6" t="str">
        <f aca="false">IF(AND(F19="Non",G19="Non",H19="Non"),"OK",TRIM(CONCATENATE(IF(F19="Oui","Doublon probable. ",""),IF(G19="Oui","Montant manquant. ",""),IF(H19="Oui","Format de date à corriger. ",""))))</f>
        <v>Format de date à corriger.</v>
      </c>
    </row>
    <row r="20" customFormat="false" ht="15" hidden="false" customHeight="true" outlineLevel="0" collapsed="false">
      <c r="A20" s="8" t="n">
        <v>46121</v>
      </c>
      <c r="B20" s="9" t="s">
        <v>24</v>
      </c>
      <c r="C20" s="9" t="s">
        <v>13</v>
      </c>
      <c r="D20" s="10" t="n">
        <v>4950</v>
      </c>
      <c r="E20" s="9" t="s">
        <v>14</v>
      </c>
      <c r="F20" s="10" t="str">
        <f aca="false">IF(COUNTIFS($A$5:$A$30,A20,$B$5:$B$30,B20,$C$5:$C$30,C20,$D$5:$D$30,D20,$E$5:$E$30,E20)&gt;1,"Oui","Non")</f>
        <v>Non</v>
      </c>
      <c r="G20" s="10" t="str">
        <f aca="false">IF(D20="","Oui","Non")</f>
        <v>Non</v>
      </c>
      <c r="H20" s="10" t="str">
        <f aca="false">IF(ISNUMBER(A20),"Non","Oui")</f>
        <v>Non</v>
      </c>
      <c r="I20" s="10" t="n">
        <f aca="false">MAX(0,100-IF(F20="Oui",34,0)-IF(G20="Oui",34,0)-IF(H20="Oui",32,0))</f>
        <v>100</v>
      </c>
      <c r="J20" s="9" t="str">
        <f aca="false">IF(AND(F20="Non",G20="Non",H20="Non"),"OK",TRIM(CONCATENATE(IF(F20="Oui","Doublon probable. ",""),IF(G20="Oui","Montant manquant. ",""),IF(H20="Oui","Format de date à corriger. ",""))))</f>
        <v>OK</v>
      </c>
    </row>
    <row r="21" customFormat="false" ht="15" hidden="false" customHeight="true" outlineLevel="0" collapsed="false">
      <c r="A21" s="5" t="n">
        <v>46128</v>
      </c>
      <c r="B21" s="6" t="s">
        <v>15</v>
      </c>
      <c r="C21" s="6" t="s">
        <v>16</v>
      </c>
      <c r="D21" s="7" t="n">
        <v>2050</v>
      </c>
      <c r="E21" s="6" t="s">
        <v>17</v>
      </c>
      <c r="F21" s="7" t="str">
        <f aca="false">IF(COUNTIFS($A$5:$A$30,A21,$B$5:$B$30,B21,$C$5:$C$30,C21,$D$5:$D$30,D21,$E$5:$E$30,E21)&gt;1,"Oui","Non")</f>
        <v>Non</v>
      </c>
      <c r="G21" s="7" t="str">
        <f aca="false">IF(D21="","Oui","Non")</f>
        <v>Non</v>
      </c>
      <c r="H21" s="7" t="str">
        <f aca="false">IF(ISNUMBER(A21),"Non","Oui")</f>
        <v>Non</v>
      </c>
      <c r="I21" s="7" t="n">
        <f aca="false">MAX(0,100-IF(F21="Oui",34,0)-IF(G21="Oui",34,0)-IF(H21="Oui",32,0))</f>
        <v>100</v>
      </c>
      <c r="J21" s="6" t="str">
        <f aca="false">IF(AND(F21="Non",G21="Non",H21="Non"),"OK",TRIM(CONCATENATE(IF(F21="Oui","Doublon probable. ",""),IF(G21="Oui","Montant manquant. ",""),IF(H21="Oui","Format de date à corriger. ",""))))</f>
        <v>OK</v>
      </c>
    </row>
    <row r="22" customFormat="false" ht="15" hidden="false" customHeight="true" outlineLevel="0" collapsed="false">
      <c r="A22" s="8" t="n">
        <v>46135</v>
      </c>
      <c r="B22" s="9" t="s">
        <v>18</v>
      </c>
      <c r="C22" s="9" t="s">
        <v>13</v>
      </c>
      <c r="D22" s="10" t="n">
        <v>3600</v>
      </c>
      <c r="E22" s="9" t="s">
        <v>14</v>
      </c>
      <c r="F22" s="10" t="str">
        <f aca="false">IF(COUNTIFS($A$5:$A$30,A22,$B$5:$B$30,B22,$C$5:$C$30,C22,$D$5:$D$30,D22,$E$5:$E$30,E22)&gt;1,"Oui","Non")</f>
        <v>Non</v>
      </c>
      <c r="G22" s="10" t="str">
        <f aca="false">IF(D22="","Oui","Non")</f>
        <v>Non</v>
      </c>
      <c r="H22" s="10" t="str">
        <f aca="false">IF(ISNUMBER(A22),"Non","Oui")</f>
        <v>Non</v>
      </c>
      <c r="I22" s="10" t="n">
        <f aca="false">MAX(0,100-IF(F22="Oui",34,0)-IF(G22="Oui",34,0)-IF(H22="Oui",32,0))</f>
        <v>100</v>
      </c>
      <c r="J22" s="9" t="str">
        <f aca="false">IF(AND(F22="Non",G22="Non",H22="Non"),"OK",TRIM(CONCATENATE(IF(F22="Oui","Doublon probable. ",""),IF(G22="Oui","Montant manquant. ",""),IF(H22="Oui","Format de date à corriger. ",""))))</f>
        <v>OK</v>
      </c>
    </row>
    <row r="23" customFormat="false" ht="15" hidden="false" customHeight="true" outlineLevel="0" collapsed="false">
      <c r="A23" s="5" t="n">
        <v>46142</v>
      </c>
      <c r="B23" s="6" t="s">
        <v>20</v>
      </c>
      <c r="C23" s="6" t="s">
        <v>13</v>
      </c>
      <c r="D23" s="7" t="n">
        <v>2900</v>
      </c>
      <c r="E23" s="6" t="s">
        <v>21</v>
      </c>
      <c r="F23" s="7" t="str">
        <f aca="false">IF(COUNTIFS($A$5:$A$30,A23,$B$5:$B$30,B23,$C$5:$C$30,C23,$D$5:$D$30,D23,$E$5:$E$30,E23)&gt;1,"Oui","Non")</f>
        <v>Non</v>
      </c>
      <c r="G23" s="7" t="str">
        <f aca="false">IF(D23="","Oui","Non")</f>
        <v>Non</v>
      </c>
      <c r="H23" s="7" t="str">
        <f aca="false">IF(ISNUMBER(A23),"Non","Oui")</f>
        <v>Non</v>
      </c>
      <c r="I23" s="7" t="n">
        <f aca="false">MAX(0,100-IF(F23="Oui",34,0)-IF(G23="Oui",34,0)-IF(H23="Oui",32,0))</f>
        <v>100</v>
      </c>
      <c r="J23" s="6" t="str">
        <f aca="false">IF(AND(F23="Non",G23="Non",H23="Non"),"OK",TRIM(CONCATENATE(IF(F23="Oui","Doublon probable. ",""),IF(G23="Oui","Montant manquant. ",""),IF(H23="Oui","Format de date à corriger. ",""))))</f>
        <v>OK</v>
      </c>
    </row>
    <row r="24" customFormat="false" ht="15" hidden="false" customHeight="true" outlineLevel="0" collapsed="false">
      <c r="A24" s="8" t="n">
        <v>46149</v>
      </c>
      <c r="B24" s="9" t="s">
        <v>12</v>
      </c>
      <c r="C24" s="9" t="s">
        <v>19</v>
      </c>
      <c r="D24" s="10" t="n">
        <v>5400</v>
      </c>
      <c r="E24" s="9" t="s">
        <v>14</v>
      </c>
      <c r="F24" s="10" t="str">
        <f aca="false">IF(COUNTIFS($A$5:$A$30,A24,$B$5:$B$30,B24,$C$5:$C$30,C24,$D$5:$D$30,D24,$E$5:$E$30,E24)&gt;1,"Oui","Non")</f>
        <v>Non</v>
      </c>
      <c r="G24" s="10" t="str">
        <f aca="false">IF(D24="","Oui","Non")</f>
        <v>Non</v>
      </c>
      <c r="H24" s="10" t="str">
        <f aca="false">IF(ISNUMBER(A24),"Non","Oui")</f>
        <v>Non</v>
      </c>
      <c r="I24" s="10" t="n">
        <f aca="false">MAX(0,100-IF(F24="Oui",34,0)-IF(G24="Oui",34,0)-IF(H24="Oui",32,0))</f>
        <v>100</v>
      </c>
      <c r="J24" s="9" t="str">
        <f aca="false">IF(AND(F24="Non",G24="Non",H24="Non"),"OK",TRIM(CONCATENATE(IF(F24="Oui","Doublon probable. ",""),IF(G24="Oui","Montant manquant. ",""),IF(H24="Oui","Format de date à corriger. ",""))))</f>
        <v>OK</v>
      </c>
    </row>
    <row r="25" customFormat="false" ht="15" hidden="false" customHeight="true" outlineLevel="0" collapsed="false">
      <c r="A25" s="5" t="n">
        <v>46156</v>
      </c>
      <c r="B25" s="6" t="s">
        <v>15</v>
      </c>
      <c r="C25" s="6" t="s">
        <v>13</v>
      </c>
      <c r="D25" s="7" t="n">
        <v>4300</v>
      </c>
      <c r="E25" s="6" t="s">
        <v>14</v>
      </c>
      <c r="F25" s="7" t="str">
        <f aca="false">IF(COUNTIFS($A$5:$A$30,A25,$B$5:$B$30,B25,$C$5:$C$30,C25,$D$5:$D$30,D25,$E$5:$E$30,E25)&gt;1,"Oui","Non")</f>
        <v>Non</v>
      </c>
      <c r="G25" s="7" t="str">
        <f aca="false">IF(D25="","Oui","Non")</f>
        <v>Non</v>
      </c>
      <c r="H25" s="7" t="str">
        <f aca="false">IF(ISNUMBER(A25),"Non","Oui")</f>
        <v>Non</v>
      </c>
      <c r="I25" s="7" t="n">
        <f aca="false">MAX(0,100-IF(F25="Oui",34,0)-IF(G25="Oui",34,0)-IF(H25="Oui",32,0))</f>
        <v>100</v>
      </c>
      <c r="J25" s="6" t="str">
        <f aca="false">IF(AND(F25="Non",G25="Non",H25="Non"),"OK",TRIM(CONCATENATE(IF(F25="Oui","Doublon probable. ",""),IF(G25="Oui","Montant manquant. ",""),IF(H25="Oui","Format de date à corriger. ",""))))</f>
        <v>OK</v>
      </c>
    </row>
    <row r="26" customFormat="false" ht="15" hidden="false" customHeight="true" outlineLevel="0" collapsed="false">
      <c r="A26" s="8" t="n">
        <v>46163</v>
      </c>
      <c r="B26" s="9" t="s">
        <v>18</v>
      </c>
      <c r="C26" s="9" t="s">
        <v>16</v>
      </c>
      <c r="D26" s="10" t="n">
        <v>1650</v>
      </c>
      <c r="E26" s="9" t="s">
        <v>17</v>
      </c>
      <c r="F26" s="10" t="str">
        <f aca="false">IF(COUNTIFS($A$5:$A$30,A26,$B$5:$B$30,B26,$C$5:$C$30,C26,$D$5:$D$30,D26,$E$5:$E$30,E26)&gt;1,"Oui","Non")</f>
        <v>Non</v>
      </c>
      <c r="G26" s="10" t="str">
        <f aca="false">IF(D26="","Oui","Non")</f>
        <v>Non</v>
      </c>
      <c r="H26" s="10" t="str">
        <f aca="false">IF(ISNUMBER(A26),"Non","Oui")</f>
        <v>Non</v>
      </c>
      <c r="I26" s="10" t="n">
        <f aca="false">MAX(0,100-IF(F26="Oui",34,0)-IF(G26="Oui",34,0)-IF(H26="Oui",32,0))</f>
        <v>100</v>
      </c>
      <c r="J26" s="9" t="str">
        <f aca="false">IF(AND(F26="Non",G26="Non",H26="Non"),"OK",TRIM(CONCATENATE(IF(F26="Oui","Doublon probable. ",""),IF(G26="Oui","Montant manquant. ",""),IF(H26="Oui","Format de date à corriger. ",""))))</f>
        <v>OK</v>
      </c>
    </row>
    <row r="27" customFormat="false" ht="15" hidden="false" customHeight="true" outlineLevel="0" collapsed="false">
      <c r="A27" s="5" t="n">
        <v>46170</v>
      </c>
      <c r="B27" s="6" t="s">
        <v>12</v>
      </c>
      <c r="C27" s="6" t="s">
        <v>13</v>
      </c>
      <c r="D27" s="7" t="n">
        <v>5800</v>
      </c>
      <c r="E27" s="6" t="s">
        <v>14</v>
      </c>
      <c r="F27" s="7" t="str">
        <f aca="false">IF(COUNTIFS($A$5:$A$30,A27,$B$5:$B$30,B27,$C$5:$C$30,C27,$D$5:$D$30,D27,$E$5:$E$30,E27)&gt;1,"Oui","Non")</f>
        <v>Non</v>
      </c>
      <c r="G27" s="7" t="str">
        <f aca="false">IF(D27="","Oui","Non")</f>
        <v>Non</v>
      </c>
      <c r="H27" s="7" t="str">
        <f aca="false">IF(ISNUMBER(A27),"Non","Oui")</f>
        <v>Non</v>
      </c>
      <c r="I27" s="7" t="n">
        <f aca="false">MAX(0,100-IF(F27="Oui",34,0)-IF(G27="Oui",34,0)-IF(H27="Oui",32,0))</f>
        <v>100</v>
      </c>
      <c r="J27" s="6" t="str">
        <f aca="false">IF(AND(F27="Non",G27="Non",H27="Non"),"OK",TRIM(CONCATENATE(IF(F27="Oui","Doublon probable. ",""),IF(G27="Oui","Montant manquant. ",""),IF(H27="Oui","Format de date à corriger. ",""))))</f>
        <v>OK</v>
      </c>
    </row>
    <row r="28" customFormat="false" ht="15" hidden="false" customHeight="true" outlineLevel="0" collapsed="false">
      <c r="A28" s="8" t="n">
        <v>46177</v>
      </c>
      <c r="B28" s="9" t="s">
        <v>20</v>
      </c>
      <c r="C28" s="9" t="s">
        <v>13</v>
      </c>
      <c r="D28" s="10" t="n">
        <v>3150</v>
      </c>
      <c r="E28" s="9" t="s">
        <v>21</v>
      </c>
      <c r="F28" s="10" t="str">
        <f aca="false">IF(COUNTIFS($A$5:$A$30,A28,$B$5:$B$30,B28,$C$5:$C$30,C28,$D$5:$D$30,D28,$E$5:$E$30,E28)&gt;1,"Oui","Non")</f>
        <v>Non</v>
      </c>
      <c r="G28" s="10" t="str">
        <f aca="false">IF(D28="","Oui","Non")</f>
        <v>Non</v>
      </c>
      <c r="H28" s="10" t="str">
        <f aca="false">IF(ISNUMBER(A28),"Non","Oui")</f>
        <v>Non</v>
      </c>
      <c r="I28" s="10" t="n">
        <f aca="false">MAX(0,100-IF(F28="Oui",34,0)-IF(G28="Oui",34,0)-IF(H28="Oui",32,0))</f>
        <v>100</v>
      </c>
      <c r="J28" s="9" t="str">
        <f aca="false">IF(AND(F28="Non",G28="Non",H28="Non"),"OK",TRIM(CONCATENATE(IF(F28="Oui","Doublon probable. ",""),IF(G28="Oui","Montant manquant. ",""),IF(H28="Oui","Format de date à corriger. ",""))))</f>
        <v>OK</v>
      </c>
    </row>
    <row r="29" customFormat="false" ht="15" hidden="false" customHeight="true" outlineLevel="0" collapsed="false">
      <c r="A29" s="5" t="n">
        <v>46184</v>
      </c>
      <c r="B29" s="6" t="s">
        <v>12</v>
      </c>
      <c r="C29" s="6" t="s">
        <v>13</v>
      </c>
      <c r="D29" s="7" t="n">
        <v>6100</v>
      </c>
      <c r="E29" s="6" t="s">
        <v>14</v>
      </c>
      <c r="F29" s="7" t="str">
        <f aca="false">IF(COUNTIFS($A$5:$A$30,A29,$B$5:$B$30,B29,$C$5:$C$30,C29,$D$5:$D$30,D29,$E$5:$E$30,E29)&gt;1,"Oui","Non")</f>
        <v>Non</v>
      </c>
      <c r="G29" s="7" t="str">
        <f aca="false">IF(D29="","Oui","Non")</f>
        <v>Non</v>
      </c>
      <c r="H29" s="7" t="str">
        <f aca="false">IF(ISNUMBER(A29),"Non","Oui")</f>
        <v>Non</v>
      </c>
      <c r="I29" s="7" t="n">
        <f aca="false">MAX(0,100-IF(F29="Oui",34,0)-IF(G29="Oui",34,0)-IF(H29="Oui",32,0))</f>
        <v>100</v>
      </c>
      <c r="J29" s="6" t="str">
        <f aca="false">IF(AND(F29="Non",G29="Non",H29="Non"),"OK",TRIM(CONCATENATE(IF(F29="Oui","Doublon probable. ",""),IF(G29="Oui","Montant manquant. ",""),IF(H29="Oui","Format de date à corriger. ",""))))</f>
        <v>OK</v>
      </c>
    </row>
    <row r="30" customFormat="false" ht="15" hidden="false" customHeight="true" outlineLevel="0" collapsed="false">
      <c r="A30" s="8" t="n">
        <v>46191</v>
      </c>
      <c r="B30" s="9" t="s">
        <v>15</v>
      </c>
      <c r="C30" s="9" t="s">
        <v>19</v>
      </c>
      <c r="D30" s="10" t="n">
        <v>1950</v>
      </c>
      <c r="E30" s="9" t="s">
        <v>17</v>
      </c>
      <c r="F30" s="10" t="str">
        <f aca="false">IF(COUNTIFS($A$5:$A$30,A30,$B$5:$B$30,B30,$C$5:$C$30,C30,$D$5:$D$30,D30,$E$5:$E$30,E30)&gt;1,"Oui","Non")</f>
        <v>Non</v>
      </c>
      <c r="G30" s="10" t="str">
        <f aca="false">IF(D30="","Oui","Non")</f>
        <v>Non</v>
      </c>
      <c r="H30" s="10" t="str">
        <f aca="false">IF(ISNUMBER(A30),"Non","Oui")</f>
        <v>Non</v>
      </c>
      <c r="I30" s="10" t="n">
        <f aca="false">MAX(0,100-IF(F30="Oui",34,0)-IF(G30="Oui",34,0)-IF(H30="Oui",32,0))</f>
        <v>100</v>
      </c>
      <c r="J30" s="9" t="str">
        <f aca="false">IF(AND(F30="Non",G30="Non",H30="Non"),"OK",TRIM(CONCATENATE(IF(F30="Oui","Doublon probable. ",""),IF(G30="Oui","Montant manquant. ",""),IF(H30="Oui","Format de date à corriger. ",""))))</f>
        <v>OK</v>
      </c>
    </row>
    <row r="32" customFormat="false" ht="45" hidden="false" customHeight="true" outlineLevel="0" collapsed="false">
      <c r="A32" s="11" t="s">
        <v>25</v>
      </c>
      <c r="B32" s="11"/>
      <c r="C32" s="11"/>
      <c r="D32" s="11"/>
      <c r="E32" s="11"/>
      <c r="F32" s="11"/>
      <c r="G32" s="11"/>
      <c r="H32" s="11"/>
      <c r="I32" s="11"/>
      <c r="J32" s="11"/>
    </row>
  </sheetData>
  <mergeCells count="3">
    <mergeCell ref="A1:J1"/>
    <mergeCell ref="A2:J2"/>
    <mergeCell ref="A32:J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0"/>
    <col collapsed="false" customWidth="true" hidden="false" outlineLevel="0" max="3" min="3" style="1" width="42"/>
    <col collapsed="false" customWidth="true" hidden="false" outlineLevel="0" max="4" min="4" style="1" width="12"/>
  </cols>
  <sheetData>
    <row r="1" customFormat="false" ht="25.5" hidden="false" customHeight="true" outlineLevel="0" collapsed="false">
      <c r="A1" s="2" t="s">
        <v>26</v>
      </c>
      <c r="B1" s="2"/>
      <c r="C1" s="2"/>
      <c r="D1" s="2"/>
    </row>
    <row r="2" customFormat="false" ht="15.75" hidden="false" customHeight="true" outlineLevel="0" collapsed="false">
      <c r="A2" s="3" t="s">
        <v>27</v>
      </c>
      <c r="B2" s="3"/>
      <c r="C2" s="3"/>
      <c r="D2" s="3"/>
    </row>
    <row r="4" customFormat="false" ht="27.75" hidden="false" customHeight="true" outlineLevel="0" collapsed="false">
      <c r="A4" s="4" t="s">
        <v>28</v>
      </c>
      <c r="B4" s="4" t="s">
        <v>29</v>
      </c>
      <c r="C4" s="4" t="s">
        <v>30</v>
      </c>
      <c r="D4" s="4" t="s">
        <v>31</v>
      </c>
    </row>
    <row r="5" customFormat="false" ht="48" hidden="false" customHeight="true" outlineLevel="0" collapsed="false">
      <c r="A5" s="12" t="s">
        <v>32</v>
      </c>
      <c r="B5" s="12" t="s">
        <v>33</v>
      </c>
      <c r="C5" s="12" t="s">
        <v>34</v>
      </c>
      <c r="D5" s="12" t="s">
        <v>35</v>
      </c>
    </row>
    <row r="6" customFormat="false" ht="48" hidden="false" customHeight="true" outlineLevel="0" collapsed="false">
      <c r="A6" s="13" t="s">
        <v>36</v>
      </c>
      <c r="B6" s="13" t="s">
        <v>37</v>
      </c>
      <c r="C6" s="13" t="s">
        <v>38</v>
      </c>
      <c r="D6" s="13" t="s">
        <v>35</v>
      </c>
    </row>
    <row r="7" customFormat="false" ht="48" hidden="false" customHeight="true" outlineLevel="0" collapsed="false">
      <c r="A7" s="12" t="s">
        <v>39</v>
      </c>
      <c r="B7" s="12" t="s">
        <v>40</v>
      </c>
      <c r="C7" s="12" t="s">
        <v>41</v>
      </c>
      <c r="D7" s="12" t="s">
        <v>35</v>
      </c>
    </row>
    <row r="8" customFormat="false" ht="48" hidden="false" customHeight="true" outlineLevel="0" collapsed="false">
      <c r="A8" s="13" t="s">
        <v>42</v>
      </c>
      <c r="B8" s="13" t="s">
        <v>43</v>
      </c>
      <c r="C8" s="13" t="s">
        <v>44</v>
      </c>
      <c r="D8" s="13" t="s">
        <v>35</v>
      </c>
    </row>
    <row r="9" customFormat="false" ht="48" hidden="false" customHeight="true" outlineLevel="0" collapsed="false">
      <c r="A9" s="12" t="s">
        <v>45</v>
      </c>
      <c r="B9" s="12" t="s">
        <v>46</v>
      </c>
      <c r="C9" s="12" t="s">
        <v>47</v>
      </c>
      <c r="D9" s="12" t="s">
        <v>35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2026-09-10T11:29:25Z</dcterms:created>
  <dc:creator>openpyxl</dc:creator>
  <dc:description/>
  <dc:language>fr-FR</dc:language>
  <cp:lastModifiedBy/>
  <dcterms:modified xsi:type="dcterms:W3CDTF">2026-09-10T11:57:18Z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