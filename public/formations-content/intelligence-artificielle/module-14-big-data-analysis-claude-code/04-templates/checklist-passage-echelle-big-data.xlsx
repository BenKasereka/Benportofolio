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uils de passage a l'echelle" sheetId="1" state="visible" r:id="rId3"/>
    <sheet name="Suivi des pipelines automatis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<sst xmlns="http://schemas.openxmlformats.org/spreadsheetml/2006/main" count="36" uniqueCount="35">
  <si>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CHECKLIST DE PASSAGE À L'ÉCHELLE BIG DATA</t>
  </si>
  <si>
    <t xml:space="preserve">Module 14 — Big Data Analysis avec Claude (avec Code) — BK-BOOST Ltd. — Feuille 1/2 : seuils et recommandation par critère</t>
  </si>
  <si>
    <t xml:space="preserve">Critère</t>
  </si>
  <si>
    <t xml:space="preserve">Seuil indicatif de passage à l'échelle</t>
  </si>
  <si>
    <t xml:space="preserve">Seuil chiffré / réponse attendue</t>
  </si>
  <si>
    <t xml:space="preserve">Valeur constatée (à remplir)</t>
  </si>
  <si>
    <t xml:space="preserve">Dépasse le seuil ?</t>
  </si>
  <si>
    <t xml:space="preserve">Recommandation</t>
  </si>
  <si>
    <t xml:space="preserve">Volume de lignes du fichier principal</t>
  </si>
  <si>
    <t xml:space="preserve">Fichier qui devient lent ou plante dans Excel (tableau croisé dynamique, formule matricielle)</t>
  </si>
  <si>
    <t xml:space="preserve">Nombre de fichiers sources à croiser</t>
  </si>
  <si>
    <t xml:space="preserve">Plus de 2 fichiers à rapprocher sur une clé commune (site, commande, référence)</t>
  </si>
  <si>
    <t xml:space="preserve">Type de calcul demandé</t>
  </si>
  <si>
    <t xml:space="preserve">Calcul qu'Excel ne fait pas nativement ou fait de façon fragile (écart-type pondéré, corrélation multi-variables, agrégation glissante)</t>
  </si>
  <si>
    <t xml:space="preserve">Non natif à Excel</t>
  </si>
  <si>
    <t xml:space="preserve">Oui</t>
  </si>
  <si>
    <t xml:space="preserve">Recommandation globale</t>
  </si>
  <si>
    <t xml:space="preserve">Remplissez la colonne « Valeur constatée » avec vos propres données (D8:D9 disponibles pour vos critères additionnels). Les trois premières lignes sont pré-remplies à titre d'exemple pour illustrer le fonctionnement des formules. Voir l'étape 1 du guide pratique de ce module pour la méthode complète.</t>
  </si>
  <si>
    <t xml:space="preserve">SUIVI DES PIPELINES AUTOMATISÉS</t>
  </si>
  <si>
    <t xml:space="preserve">Module 14 — Big Data Analysis avec Claude (avec Code) — BK-BOOST Ltd. — Feuille 2/2 : supervision périodique des pipelines Claude Code</t>
  </si>
  <si>
    <t xml:space="preserve">Nom du pipeline</t>
  </si>
  <si>
    <t xml:space="preserve">Déclencheur / fréquence</t>
  </si>
  <si>
    <t xml:space="preserve">Dernière vérification</t>
  </si>
  <si>
    <t xml:space="preserve">Jours depuis vérification</t>
  </si>
  <si>
    <t xml:space="preserve">Statut</t>
  </si>
  <si>
    <t xml:space="preserve">Responsable</t>
  </si>
  <si>
    <t xml:space="preserve">Synthèse trimestrielle livraisons logistiques</t>
  </si>
  <si>
    <t xml:space="preserve">Trimestriel, à la clôture de chaque trimestre</t>
  </si>
  <si>
    <t xml:space="preserve">B. Kasereka</t>
  </si>
  <si>
    <t xml:space="preserve">Rapport mensuel croisement livraisons par site</t>
  </si>
  <si>
    <t xml:space="preserve">Mensuel, 1er jour ouvré du mois</t>
  </si>
  <si>
    <t xml:space="preserve">Équipe logistique</t>
  </si>
  <si>
    <t xml:space="preserve">Extraction hebdomadaire stock entrepôt</t>
  </si>
  <si>
    <t xml:space="preserve">Hebdomadaire, chaque lundi</t>
  </si>
  <si>
    <t xml:space="preserve">La colonne « Statut » signale automatiquement (formule basée sur la date du jour) tout pipeline dont la dernière vérification remonte à plus de 30 jours : un statut « À revérifier » ne veut pas dire que le pipeline est en erreur, mais qu'il n'a pas été recontrôlé récemment et doit être traité comme non fiable jusqu'à nouvelle vérification. Voir l'étape 5 du guide pratique de ce module.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</si>
</sst>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E3A8A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4" min="3" style="0" width="20"/>
    <col collapsed="false" customWidth="true" hidden="false" outlineLevel="0" max="5" min="5" style="0" width="16"/>
    <col collapsed="false" customWidth="true" hidden="false" outlineLevel="0" max="6" min="6" style="0" width="3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48" hidden="false" customHeight="true" outlineLevel="0" collapsed="false">
      <c r="A5" s="4" t="s">
        <v>8</v>
      </c>
      <c r="B5" s="4" t="s">
        <v>9</v>
      </c>
      <c r="C5" s="4" t="n">
        <v>50000</v>
      </c>
      <c r="D5" s="4" t="n">
        <v>82000</v>
      </c>
      <c r="E5" s="4" t="str">
        <f aca="false">IF(D5="","",IF(D5&gt;=C5,"Oui","Non"))</f>
        <v>Oui</v>
      </c>
      <c r="F5" s="4" t="str">
        <f aca="false">IF(D5="","À renseigner",IF(E5="Oui","Claude (exécution de code) recommandé","Excel / Power Query suffisant"))</f>
        <v>Claude (exécution de code) recommandé</v>
      </c>
    </row>
    <row r="6" customFormat="false" ht="48" hidden="false" customHeight="true" outlineLevel="0" collapsed="false">
      <c r="A6" s="5" t="s">
        <v>10</v>
      </c>
      <c r="B6" s="5" t="s">
        <v>11</v>
      </c>
      <c r="C6" s="5" t="n">
        <v>2</v>
      </c>
      <c r="D6" s="5" t="n">
        <v>3</v>
      </c>
      <c r="E6" s="5" t="str">
        <f aca="false">IF(D6="","",IF(D6&gt;C6,"Oui","Non"))</f>
        <v>Oui</v>
      </c>
      <c r="F6" s="5" t="str">
        <f aca="false">IF(D6="","À renseigner",IF(E6="Oui","Claude (exécution de code) recommandé","Excel / Power Query suffisant"))</f>
        <v>Claude (exécution de code) recommandé</v>
      </c>
    </row>
    <row r="7" customFormat="false" ht="48" hidden="false" customHeight="true" outlineLevel="0" collapsed="false">
      <c r="A7" s="4" t="s">
        <v>12</v>
      </c>
      <c r="B7" s="4" t="s">
        <v>13</v>
      </c>
      <c r="C7" s="4" t="s">
        <v>14</v>
      </c>
      <c r="D7" s="4" t="s">
        <v>15</v>
      </c>
      <c r="E7" s="4" t="str">
        <f aca="false">IF(D7="","",IF(D7="Oui","Oui","Non"))</f>
        <v>Oui</v>
      </c>
      <c r="F7" s="4" t="str">
        <f aca="false">IF(D7="","À renseigner",IF(E7="Oui","Claude (exécution de code) recommandé","Excel / Power Query suffisant"))</f>
        <v>Claude (exécution de code) recommandé</v>
      </c>
    </row>
    <row r="8" customFormat="false" ht="30" hidden="false" customHeight="true" outlineLevel="0" collapsed="false">
      <c r="A8" s="5"/>
      <c r="B8" s="5"/>
      <c r="C8" s="5"/>
      <c r="D8" s="5"/>
      <c r="E8" s="5" t="str">
        <f aca="false">IF(D8="","",IF(ISNUMBER(C8),IF(D8&gt;=C8,"Oui","Non"),IF(D8=C8,"Non","Oui")))</f>
        <v/>
      </c>
      <c r="F8" s="5" t="str">
        <f aca="false">IF(D8="","À renseigner",IF(E8="Oui","Claude (exécution de code) recommandé","Excel / Power Query suffisant"))</f>
        <v>À renseigner</v>
      </c>
    </row>
    <row r="9" customFormat="false" ht="30" hidden="false" customHeight="true" outlineLevel="0" collapsed="false">
      <c r="A9" s="4"/>
      <c r="B9" s="4"/>
      <c r="C9" s="4"/>
      <c r="D9" s="4"/>
      <c r="E9" s="4" t="str">
        <f aca="false">IF(D9="","",IF(ISNUMBER(C9),IF(D9&gt;=C9,"Oui","Non"),IF(D9=C9,"Non","Oui")))</f>
        <v/>
      </c>
      <c r="F9" s="4" t="str">
        <f aca="false">IF(D9="","À renseigner",IF(E9="Oui","Claude (exécution de code) recommandé","Excel / Power Query suffisant"))</f>
        <v>À renseigner</v>
      </c>
    </row>
    <row r="11" customFormat="false" ht="33.75" hidden="false" customHeight="true" outlineLevel="0" collapsed="false">
      <c r="A11" s="6" t="s">
        <v>16</v>
      </c>
      <c r="B11" s="6"/>
      <c r="C11" s="7" t="str">
        <f aca="false">IF(COUNTIF(E5:E9,"Oui")&gt;=1,"Au moins un seuil est dépassé : passez à Claude (exécution de code), et à Claude Code si le besoin se répète chaque mois.","Aucun seuil n'est dépassé pour le moment : Excel / Power Query restent suffisants.")</f>
        <v>Au moins un seuil est dépassé : passez à Claude (exécution de code), et à Claude Code si le besoin se répète chaque mois.</v>
      </c>
      <c r="D11" s="7"/>
      <c r="E11" s="7"/>
      <c r="F11" s="7"/>
    </row>
    <row r="13" customFormat="false" ht="45" hidden="false" customHeight="true" outlineLevel="0" collapsed="false">
      <c r="A13" s="8" t="s">
        <v>17</v>
      </c>
      <c r="B13" s="8"/>
      <c r="C13" s="8"/>
      <c r="D13" s="8"/>
      <c r="E13" s="8"/>
      <c r="F13" s="8"/>
    </row>
  </sheetData>
  <mergeCells count="5">
    <mergeCell ref="A1:F1"/>
    <mergeCell ref="A2:F2"/>
    <mergeCell ref="A11:B11"/>
    <mergeCell ref="C11:F11"/>
    <mergeCell ref="A13:F13"/>
  </mergeCells>
  <dataValidations count="1">
    <dataValidation allowBlank="true" errorStyle="stop" operator="between" showDropDown="false" showErrorMessage="false" showInputMessage="false" sqref="D7:D9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20"/>
  </cols>
  <sheetData>
    <row r="1" customFormat="false" ht="25.5" hidden="false" customHeight="true" outlineLevel="0" collapsed="false">
      <c r="A1" s="1" t="s">
        <v>18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19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</row>
    <row r="5" customFormat="false" ht="31.5" hidden="false" customHeight="true" outlineLevel="0" collapsed="false">
      <c r="A5" s="4" t="s">
        <v>26</v>
      </c>
      <c r="B5" s="4" t="s">
        <v>27</v>
      </c>
      <c r="C5" s="9" t="n">
        <v>46174</v>
      </c>
      <c r="D5" s="4" t="n">
        <f aca="true">TODAY()-C5</f>
        <v>101</v>
      </c>
      <c r="E5" s="4" t="str">
        <f aca="true">IF((TODAY()-C5)&gt;30,"À revérifier","À jour")</f>
        <v>À revérifier</v>
      </c>
      <c r="F5" s="4" t="s">
        <v>28</v>
      </c>
    </row>
    <row r="6" customFormat="false" ht="31.5" hidden="false" customHeight="true" outlineLevel="0" collapsed="false">
      <c r="A6" s="5" t="s">
        <v>29</v>
      </c>
      <c r="B6" s="5" t="s">
        <v>30</v>
      </c>
      <c r="C6" s="10" t="n">
        <v>46239</v>
      </c>
      <c r="D6" s="5" t="n">
        <f aca="true">TODAY()-C6</f>
        <v>36</v>
      </c>
      <c r="E6" s="5" t="str">
        <f aca="true">IF((TODAY()-C6)&gt;30,"À revérifier","À jour")</f>
        <v>À revérifier</v>
      </c>
      <c r="F6" s="5" t="s">
        <v>31</v>
      </c>
    </row>
    <row r="7" customFormat="false" ht="31.5" hidden="false" customHeight="true" outlineLevel="0" collapsed="false">
      <c r="A7" s="4" t="s">
        <v>32</v>
      </c>
      <c r="B7" s="4" t="s">
        <v>33</v>
      </c>
      <c r="C7" s="9" t="n">
        <v>46273</v>
      </c>
      <c r="D7" s="4" t="n">
        <f aca="true">TODAY()-C7</f>
        <v>2</v>
      </c>
      <c r="E7" s="4" t="str">
        <f aca="true">IF((TODAY()-C7)&gt;30,"À revérifier","À jour")</f>
        <v>À jour</v>
      </c>
      <c r="F7" s="4" t="s">
        <v>28</v>
      </c>
    </row>
    <row r="8" customFormat="false" ht="31.5" hidden="false" customHeight="true" outlineLevel="0" collapsed="false">
      <c r="A8" s="5"/>
      <c r="B8" s="5"/>
      <c r="C8" s="10"/>
      <c r="D8" s="5" t="str">
        <f aca="true">IF(C8="","",TODAY()-C8)</f>
        <v/>
      </c>
      <c r="E8" s="5" t="str">
        <f aca="true">IF(C8="","",IF((TODAY()-C8)&gt;30,"À revérifier","À jour"))</f>
        <v/>
      </c>
      <c r="F8" s="5"/>
    </row>
    <row r="9" customFormat="false" ht="31.5" hidden="false" customHeight="true" outlineLevel="0" collapsed="false">
      <c r="A9" s="4"/>
      <c r="B9" s="4"/>
      <c r="C9" s="9"/>
      <c r="D9" s="4" t="str">
        <f aca="true">IF(C9="","",TODAY()-C9)</f>
        <v/>
      </c>
      <c r="E9" s="4" t="str">
        <f aca="true">IF(C9="","",IF((TODAY()-C9)&gt;30,"À revérifier","À jour"))</f>
        <v/>
      </c>
      <c r="F9" s="4"/>
    </row>
    <row r="11" customFormat="false" ht="51.75" hidden="false" customHeight="true" outlineLevel="0" collapsed="false">
      <c r="A11" s="8" t="s">
        <v>34</v>
      </c>
      <c r="B11" s="8"/>
      <c r="C11" s="8"/>
      <c r="D11" s="8"/>
      <c r="E11" s="8"/>
      <c r="F11" s="8"/>
    </row>
  </sheetData>
  <mergeCells count="3">
    <mergeCell ref="A1:F1"/>
    <mergeCell ref="A2:F2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2026-09-10T12:30:35Z</dcterms:created>
  <dc:creator>openpyxl</dc:creator>
  <dc:description/>
  <dc:language>fr-FR</dc:language>
  <cp:lastModifiedBy/>
  <dcterms:modified xsi:type="dcterms:W3CDTF">2026-09-10T12:30:35Z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