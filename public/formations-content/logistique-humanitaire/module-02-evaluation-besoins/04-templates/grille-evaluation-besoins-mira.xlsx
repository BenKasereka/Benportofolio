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valuation HEAT" sheetId="1" state="visible" r:id="rId3"/>
    <sheet name="Synthese" sheetId="2" state="visible" r:id="rId4"/>
    <sheet name="Ponder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<sst xmlns="http://schemas.openxmlformats.org/spreadsheetml/2006/main" count="54" uniqueCount="48">
  <si>
    <t xml:space="preserve">GRILLE D'EVALUATION DES BESOINS - MIRA / HEAT</t>
  </si>
  <si>
    <t xml:space="preserve">Module 02 - Evaluation des Besoins &amp; Planification Logistique d'Urgence - BK-BOOST Ltd.</t>
  </si>
  <si>
    <t xml:space="preserve">Zone / Secteur</t>
  </si>
  <si>
    <t xml:space="preserve">Population estimee exposee</t>
  </si>
  <si>
    <t xml:space="preserve">H - Hasard (0-4)</t>
  </si>
  <si>
    <t xml:space="preserve">E - Exposition (0-4)</t>
  </si>
  <si>
    <t xml:space="preserve">A - Acces (0-4)</t>
  </si>
  <si>
    <t xml:space="preserve">T - Transport (0-4)</t>
  </si>
  <si>
    <t xml:space="preserve">Score severite (pondere /4)</t>
  </si>
  <si>
    <t xml:space="preserve">Besoin logistique identifie</t>
  </si>
  <si>
    <t xml:space="preserve">Statut info</t>
  </si>
  <si>
    <t xml:space="preserve">Derniere MAJ</t>
  </si>
  <si>
    <t xml:space="preserve">Commentaire / a verifier</t>
  </si>
  <si>
    <t xml:space="preserve">Raboteau (Gonaives)</t>
  </si>
  <si>
    <t xml:space="preserve">Kits WASH, comprimes de purification d'eau, bâches</t>
  </si>
  <si>
    <t xml:space="preserve">Confirme</t>
  </si>
  <si>
    <t xml:space="preserve">2026-08-29</t>
  </si>
  <si>
    <t xml:space="preserve">Zone la plus densement peuplee touchee ; antecedent cholera documente</t>
  </si>
  <si>
    <t xml:space="preserve">Bigot (Gonaives)</t>
  </si>
  <si>
    <t xml:space="preserve">Bâches, kits abris d'urgence</t>
  </si>
  <si>
    <t xml:space="preserve">A confirmer</t>
  </si>
  <si>
    <t xml:space="preserve">Chiffre de population non verifie, a confirmer avec le point focal local</t>
  </si>
  <si>
    <t xml:space="preserve">Acces entrepot Saint-Marc</t>
  </si>
  <si>
    <t xml:space="preserve">Verification stock preposition (kits WASH, bâches, purification eau)</t>
  </si>
  <si>
    <t xml:space="preserve">Etat et quantite du stock non confirmes depuis 6 mois</t>
  </si>
  <si>
    <t xml:space="preserve">Legende : H=Hasard, E=Exposition, A=Acces, T=Transport (0=aucune contrainte, 4=bloquant). Score de severite = moyenne ponderee des 4 axes (voir onglet Ponderation).</t>
  </si>
  <si>
    <t xml:space="preserve">SYNTHESE ET PRIORISATION DES ZONES</t>
  </si>
  <si>
    <t xml:space="preserve">Calculee automatiquement a partir de l'onglet Evaluation HEAT - ne pas modifier les formules.</t>
  </si>
  <si>
    <t xml:space="preserve">Score de severite</t>
  </si>
  <si>
    <t xml:space="preserve">Niveau de priorite</t>
  </si>
  <si>
    <t xml:space="preserve">Nombre de zones evaluees</t>
  </si>
  <si>
    <t xml:space="preserve">Dont niveau de priorite Critique</t>
  </si>
  <si>
    <t xml:space="preserve">Dont "Critique" ET statut "A confirmer"</t>
  </si>
  <si>
    <t xml:space="preserve">PONDERATION DES AXES HEAT</t>
  </si>
  <si>
    <t xml:space="preserve">Poids utilises dans le calcul du score de severite de l'onglet Evaluation HEAT.</t>
  </si>
  <si>
    <t xml:space="preserve">Axe</t>
  </si>
  <si>
    <t xml:space="preserve">Libelle</t>
  </si>
  <si>
    <t xml:space="preserve">Poids applique</t>
  </si>
  <si>
    <t xml:space="preserve">H</t>
  </si>
  <si>
    <t xml:space="preserve">Hasard - danger physique residuel pour l'operation logistique</t>
  </si>
  <si>
    <t xml:space="preserve">E</t>
  </si>
  <si>
    <t xml:space="preserve">Exposition - population et infrastructures critiques exposees</t>
  </si>
  <si>
    <t xml:space="preserve">A</t>
  </si>
  <si>
    <t xml:space="preserve">Acces - possibilite reelle d'atteindre la zone (route/fleuve/air)</t>
  </si>
  <si>
    <t xml:space="preserve">T</t>
  </si>
  <si>
    <t xml:space="preserve">Transport - disponibilite de moyens de transport et de stockage</t>
  </si>
  <si>
    <t xml:space="preserve">Total</t>
  </si>
  <si>
    <t xml:space="preserve">Note : la somme des poids doit toujours etre egale a 100%. Modifiez les poids ici uniquement si un contexte specifique justifie de ponderer un axe plus qu'un autre (ex. contexte epidemique -&gt; ponderer davantage l'axe Exposition).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</si>
</sst>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\ 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4785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10" min="9" style="0" width="14"/>
    <col collapsed="false" customWidth="true" hidden="false" outlineLevel="0" max="11" min="11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0" hidden="false" customHeight="true" outlineLevel="0" collapsed="false">
      <c r="A5" s="4" t="s">
        <v>13</v>
      </c>
      <c r="B5" s="5" t="n">
        <v>8200</v>
      </c>
      <c r="C5" s="5" t="n">
        <v>3</v>
      </c>
      <c r="D5" s="5" t="n">
        <v>4</v>
      </c>
      <c r="E5" s="5" t="n">
        <v>3</v>
      </c>
      <c r="F5" s="5" t="n">
        <v>3</v>
      </c>
      <c r="G5" s="6" t="n">
        <f aca="false">SUMPRODUCT(C5:F5,TRANSPOSE(Ponderation!$C$5:$C$8))</f>
        <v>3.25</v>
      </c>
      <c r="H5" s="4" t="s">
        <v>14</v>
      </c>
      <c r="I5" s="5" t="s">
        <v>15</v>
      </c>
      <c r="J5" s="5" t="s">
        <v>16</v>
      </c>
      <c r="K5" s="4" t="s">
        <v>17</v>
      </c>
    </row>
    <row r="6" customFormat="false" ht="30" hidden="false" customHeight="true" outlineLevel="0" collapsed="false">
      <c r="A6" s="7" t="s">
        <v>18</v>
      </c>
      <c r="B6" s="8" t="n">
        <v>5400</v>
      </c>
      <c r="C6" s="8" t="n">
        <v>2</v>
      </c>
      <c r="D6" s="8" t="n">
        <v>3</v>
      </c>
      <c r="E6" s="8" t="n">
        <v>2</v>
      </c>
      <c r="F6" s="8" t="n">
        <v>2</v>
      </c>
      <c r="G6" s="9" t="n">
        <f aca="false">SUMPRODUCT(C6:F6,TRANSPOSE(Ponderation!$C$5:$C$8))</f>
        <v>2.25</v>
      </c>
      <c r="H6" s="7" t="s">
        <v>19</v>
      </c>
      <c r="I6" s="8" t="s">
        <v>20</v>
      </c>
      <c r="J6" s="8" t="s">
        <v>16</v>
      </c>
      <c r="K6" s="7" t="s">
        <v>21</v>
      </c>
    </row>
    <row r="7" customFormat="false" ht="30" hidden="false" customHeight="true" outlineLevel="0" collapsed="false">
      <c r="A7" s="4" t="s">
        <v>22</v>
      </c>
      <c r="B7" s="5" t="n">
        <v>0</v>
      </c>
      <c r="C7" s="5" t="n">
        <v>1</v>
      </c>
      <c r="D7" s="5" t="n">
        <v>1</v>
      </c>
      <c r="E7" s="5" t="n">
        <v>2</v>
      </c>
      <c r="F7" s="5" t="n">
        <v>3</v>
      </c>
      <c r="G7" s="6" t="n">
        <f aca="false">SUMPRODUCT(C7:F7,TRANSPOSE(Ponderation!$C$5:$C$8))</f>
        <v>1.75</v>
      </c>
      <c r="H7" s="4" t="s">
        <v>23</v>
      </c>
      <c r="I7" s="5" t="s">
        <v>20</v>
      </c>
      <c r="J7" s="5" t="s">
        <v>16</v>
      </c>
      <c r="K7" s="4" t="s">
        <v>24</v>
      </c>
    </row>
    <row r="8" customFormat="false" ht="24" hidden="false" customHeight="true" outlineLevel="0" collapsed="false">
      <c r="A8" s="7"/>
      <c r="B8" s="8"/>
      <c r="C8" s="8"/>
      <c r="D8" s="8"/>
      <c r="E8" s="8"/>
      <c r="F8" s="8"/>
      <c r="G8" s="9" t="str">
        <f aca="false">IF(C8="","",SUMPRODUCT(C8:F8,TRANSPOSE(Ponderation!$C$5:$C$8)))</f>
        <v/>
      </c>
      <c r="H8" s="7"/>
      <c r="I8" s="8"/>
      <c r="J8" s="8"/>
      <c r="K8" s="7"/>
    </row>
    <row r="9" customFormat="false" ht="24" hidden="false" customHeight="true" outlineLevel="0" collapsed="false">
      <c r="A9" s="4"/>
      <c r="B9" s="5"/>
      <c r="C9" s="5"/>
      <c r="D9" s="5"/>
      <c r="E9" s="5"/>
      <c r="F9" s="5"/>
      <c r="G9" s="6" t="str">
        <f aca="false">IF(C9="","",SUMPRODUCT(C9:F9,TRANSPOSE(Ponderation!$C$5:$C$8)))</f>
        <v/>
      </c>
      <c r="H9" s="4"/>
      <c r="I9" s="5"/>
      <c r="J9" s="5"/>
      <c r="K9" s="4"/>
    </row>
    <row r="10" customFormat="false" ht="24" hidden="false" customHeight="true" outlineLevel="0" collapsed="false">
      <c r="A10" s="7"/>
      <c r="B10" s="8"/>
      <c r="C10" s="8"/>
      <c r="D10" s="8"/>
      <c r="E10" s="8"/>
      <c r="F10" s="8"/>
      <c r="G10" s="9" t="str">
        <f aca="false">IF(C10="","",SUMPRODUCT(C10:F10,TRANSPOSE(Ponderation!$C$5:$C$8)))</f>
        <v/>
      </c>
      <c r="H10" s="7"/>
      <c r="I10" s="8"/>
      <c r="J10" s="8"/>
      <c r="K10" s="7"/>
    </row>
    <row r="11" customFormat="false" ht="24" hidden="false" customHeight="true" outlineLevel="0" collapsed="false">
      <c r="A11" s="4"/>
      <c r="B11" s="5"/>
      <c r="C11" s="5"/>
      <c r="D11" s="5"/>
      <c r="E11" s="5"/>
      <c r="F11" s="5"/>
      <c r="G11" s="6" t="str">
        <f aca="false">IF(C11="","",SUMPRODUCT(C11:F11,TRANSPOSE(Ponderation!$C$5:$C$8)))</f>
        <v/>
      </c>
      <c r="H11" s="4"/>
      <c r="I11" s="5"/>
      <c r="J11" s="5"/>
      <c r="K11" s="4"/>
    </row>
    <row r="12" customFormat="false" ht="24" hidden="false" customHeight="true" outlineLevel="0" collapsed="false">
      <c r="A12" s="7"/>
      <c r="B12" s="8"/>
      <c r="C12" s="8"/>
      <c r="D12" s="8"/>
      <c r="E12" s="8"/>
      <c r="F12" s="8"/>
      <c r="G12" s="9" t="str">
        <f aca="false">IF(C12="","",SUMPRODUCT(C12:F12,TRANSPOSE(Ponderation!$C$5:$C$8)))</f>
        <v/>
      </c>
      <c r="H12" s="7"/>
      <c r="I12" s="8"/>
      <c r="J12" s="8"/>
      <c r="K12" s="7"/>
    </row>
    <row r="13" customFormat="false" ht="24" hidden="false" customHeight="true" outlineLevel="0" collapsed="false">
      <c r="A13" s="4"/>
      <c r="B13" s="5"/>
      <c r="C13" s="5"/>
      <c r="D13" s="5"/>
      <c r="E13" s="5"/>
      <c r="F13" s="5"/>
      <c r="G13" s="6" t="str">
        <f aca="false">IF(C13="","",SUMPRODUCT(C13:F13,TRANSPOSE(Ponderation!$C$5:$C$8)))</f>
        <v/>
      </c>
      <c r="H13" s="4"/>
      <c r="I13" s="5"/>
      <c r="J13" s="5"/>
      <c r="K13" s="4"/>
    </row>
    <row r="14" customFormat="false" ht="24" hidden="false" customHeight="true" outlineLevel="0" collapsed="false">
      <c r="A14" s="7"/>
      <c r="B14" s="8"/>
      <c r="C14" s="8"/>
      <c r="D14" s="8"/>
      <c r="E14" s="8"/>
      <c r="F14" s="8"/>
      <c r="G14" s="9" t="str">
        <f aca="false">IF(C14="","",SUMPRODUCT(C14:F14,TRANSPOSE(Ponderation!$C$5:$C$8)))</f>
        <v/>
      </c>
      <c r="H14" s="7"/>
      <c r="I14" s="8"/>
      <c r="J14" s="8"/>
      <c r="K14" s="7"/>
    </row>
    <row r="15" customFormat="false" ht="24" hidden="false" customHeight="true" outlineLevel="0" collapsed="false">
      <c r="A15" s="4"/>
      <c r="B15" s="5"/>
      <c r="C15" s="5"/>
      <c r="D15" s="5"/>
      <c r="E15" s="5"/>
      <c r="F15" s="5"/>
      <c r="G15" s="6" t="str">
        <f aca="false">IF(C15="","",SUMPRODUCT(C15:F15,TRANSPOSE(Ponderation!$C$5:$C$8)))</f>
        <v/>
      </c>
      <c r="H15" s="4"/>
      <c r="I15" s="5"/>
      <c r="J15" s="5"/>
      <c r="K15" s="4"/>
    </row>
    <row r="16" customFormat="false" ht="24" hidden="false" customHeight="true" outlineLevel="0" collapsed="false">
      <c r="A16" s="7"/>
      <c r="B16" s="8"/>
      <c r="C16" s="8"/>
      <c r="D16" s="8"/>
      <c r="E16" s="8"/>
      <c r="F16" s="8"/>
      <c r="G16" s="9" t="str">
        <f aca="false">IF(C16="","",SUMPRODUCT(C16:F16,TRANSPOSE(Ponderation!$C$5:$C$8)))</f>
        <v/>
      </c>
      <c r="H16" s="7"/>
      <c r="I16" s="8"/>
      <c r="J16" s="8"/>
      <c r="K16" s="7"/>
    </row>
    <row r="17" customFormat="false" ht="24" hidden="false" customHeight="true" outlineLevel="0" collapsed="false">
      <c r="A17" s="4"/>
      <c r="B17" s="5"/>
      <c r="C17" s="5"/>
      <c r="D17" s="5"/>
      <c r="E17" s="5"/>
      <c r="F17" s="5"/>
      <c r="G17" s="6" t="str">
        <f aca="false">IF(C17="","",SUMPRODUCT(C17:F17,TRANSPOSE(Ponderation!$C$5:$C$8)))</f>
        <v/>
      </c>
      <c r="H17" s="4"/>
      <c r="I17" s="5"/>
      <c r="J17" s="5"/>
      <c r="K17" s="4"/>
    </row>
    <row r="18" customFormat="false" ht="24" hidden="false" customHeight="true" outlineLevel="0" collapsed="false">
      <c r="A18" s="7"/>
      <c r="B18" s="8"/>
      <c r="C18" s="8"/>
      <c r="D18" s="8"/>
      <c r="E18" s="8"/>
      <c r="F18" s="8"/>
      <c r="G18" s="9" t="str">
        <f aca="false">IF(C18="","",SUMPRODUCT(C18:F18,TRANSPOSE(Ponderation!$C$5:$C$8)))</f>
        <v/>
      </c>
      <c r="H18" s="7"/>
      <c r="I18" s="8"/>
      <c r="J18" s="8"/>
      <c r="K18" s="7"/>
    </row>
    <row r="19" customFormat="false" ht="24" hidden="false" customHeight="true" outlineLevel="0" collapsed="false">
      <c r="A19" s="4"/>
      <c r="B19" s="5"/>
      <c r="C19" s="5"/>
      <c r="D19" s="5"/>
      <c r="E19" s="5"/>
      <c r="F19" s="5"/>
      <c r="G19" s="6" t="str">
        <f aca="false">IF(C19="","",SUMPRODUCT(C19:F19,TRANSPOSE(Ponderation!$C$5:$C$8)))</f>
        <v/>
      </c>
      <c r="H19" s="4"/>
      <c r="I19" s="5"/>
      <c r="J19" s="5"/>
      <c r="K19" s="4"/>
    </row>
    <row r="21" customFormat="false" ht="15" hidden="false" customHeight="false" outlineLevel="0" collapsed="false">
      <c r="A21" s="10" t="s">
        <v>25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</sheetData>
  <mergeCells count="3">
    <mergeCell ref="A1:K1"/>
    <mergeCell ref="A2:K2"/>
    <mergeCell ref="A21:K21"/>
  </mergeCells>
  <dataValidations count="2">
    <dataValidation allowBlank="true" error="Le score doit etre un entier entre 0 et 4." errorStyle="stop" errorTitle="Score invalide" operator="between" showDropDown="false" showErrorMessage="true" showInputMessage="false" sqref="C5:F19" type="whole">
      <formula1>0</formula1>
      <formula2>4</formula2>
    </dataValidation>
    <dataValidation allowBlank="true" errorStyle="stop" operator="between" showDropDown="false" showErrorMessage="true" showInputMessage="false" sqref="I5:I19" type="list">
      <formula1>"Confirme,A confirmer,Obsolete"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</row>
    <row r="2" customFormat="false" ht="15" hidden="false" customHeight="true" outlineLevel="0" collapsed="false">
      <c r="A2" s="2" t="s">
        <v>27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28</v>
      </c>
      <c r="C4" s="3" t="s">
        <v>29</v>
      </c>
      <c r="D4" s="3" t="s">
        <v>9</v>
      </c>
      <c r="E4" s="3" t="s">
        <v>10</v>
      </c>
    </row>
    <row r="5" customFormat="false" ht="24" hidden="false" customHeight="true" outlineLevel="0" collapsed="false">
      <c r="A5" s="4" t="str">
        <f aca="false">IF('Evaluation HEAT'!A5="","",'Evaluation HEAT'!A5)</f>
        <v>Raboteau (Gonaives)</v>
      </c>
      <c r="B5" s="6" t="n">
        <f aca="false">IF('Evaluation HEAT'!A5="","",'Evaluation HEAT'!G5)</f>
        <v>3.25</v>
      </c>
      <c r="C5" s="5" t="str">
        <f aca="false">IF('Evaluation HEAT'!A5="","",IF('Evaluation HEAT'!G5&gt;=3,"Critique",IF('Evaluation HEAT'!G5&gt;=2,"Elevee","Moderee")))</f>
        <v>Critique</v>
      </c>
      <c r="D5" s="4" t="str">
        <f aca="false">IF('Evaluation HEAT'!A5="","",'Evaluation HEAT'!H5)</f>
        <v>Kits WASH, comprimes de purification d'eau, bâches</v>
      </c>
      <c r="E5" s="5" t="str">
        <f aca="false">IF('Evaluation HEAT'!A5="","",'Evaluation HEAT'!I5)</f>
        <v>Confirme</v>
      </c>
    </row>
    <row r="6" customFormat="false" ht="24" hidden="false" customHeight="true" outlineLevel="0" collapsed="false">
      <c r="A6" s="7" t="str">
        <f aca="false">IF('Evaluation HEAT'!A6="","",'Evaluation HEAT'!A6)</f>
        <v>Bigot (Gonaives)</v>
      </c>
      <c r="B6" s="9" t="n">
        <f aca="false">IF('Evaluation HEAT'!A6="","",'Evaluation HEAT'!G6)</f>
        <v>2.25</v>
      </c>
      <c r="C6" s="8" t="str">
        <f aca="false">IF('Evaluation HEAT'!A6="","",IF('Evaluation HEAT'!G6&gt;=3,"Critique",IF('Evaluation HEAT'!G6&gt;=2,"Elevee","Moderee")))</f>
        <v>Elevee</v>
      </c>
      <c r="D6" s="7" t="str">
        <f aca="false">IF('Evaluation HEAT'!A6="","",'Evaluation HEAT'!H6)</f>
        <v>Bâches, kits abris d'urgence</v>
      </c>
      <c r="E6" s="8" t="str">
        <f aca="false">IF('Evaluation HEAT'!A6="","",'Evaluation HEAT'!I6)</f>
        <v>A confirmer</v>
      </c>
    </row>
    <row r="7" customFormat="false" ht="24" hidden="false" customHeight="true" outlineLevel="0" collapsed="false">
      <c r="A7" s="4" t="str">
        <f aca="false">IF('Evaluation HEAT'!A7="","",'Evaluation HEAT'!A7)</f>
        <v>Acces entrepot Saint-Marc</v>
      </c>
      <c r="B7" s="6" t="n">
        <f aca="false">IF('Evaluation HEAT'!A7="","",'Evaluation HEAT'!G7)</f>
        <v>1.75</v>
      </c>
      <c r="C7" s="5" t="str">
        <f aca="false">IF('Evaluation HEAT'!A7="","",IF('Evaluation HEAT'!G7&gt;=3,"Critique",IF('Evaluation HEAT'!G7&gt;=2,"Elevee","Moderee")))</f>
        <v>Moderee</v>
      </c>
      <c r="D7" s="4" t="str">
        <f aca="false">IF('Evaluation HEAT'!A7="","",'Evaluation HEAT'!H7)</f>
        <v>Verification stock preposition (kits WASH, bâches, purification eau)</v>
      </c>
      <c r="E7" s="5" t="str">
        <f aca="false">IF('Evaluation HEAT'!A7="","",'Evaluation HEAT'!I7)</f>
        <v>A confirmer</v>
      </c>
    </row>
    <row r="8" customFormat="false" ht="24" hidden="false" customHeight="true" outlineLevel="0" collapsed="false">
      <c r="A8" s="7" t="str">
        <f aca="false">IF('Evaluation HEAT'!A8="","",'Evaluation HEAT'!A8)</f>
        <v/>
      </c>
      <c r="B8" s="9" t="str">
        <f aca="false">IF('Evaluation HEAT'!A8="","",'Evaluation HEAT'!G8)</f>
        <v/>
      </c>
      <c r="C8" s="8" t="str">
        <f aca="false">IF('Evaluation HEAT'!A8="","",IF('Evaluation HEAT'!G8&gt;=3,"Critique",IF('Evaluation HEAT'!G8&gt;=2,"Elevee","Moderee")))</f>
        <v/>
      </c>
      <c r="D8" s="7" t="str">
        <f aca="false">IF('Evaluation HEAT'!A8="","",'Evaluation HEAT'!H8)</f>
        <v/>
      </c>
      <c r="E8" s="8" t="str">
        <f aca="false">IF('Evaluation HEAT'!A8="","",'Evaluation HEAT'!I8)</f>
        <v/>
      </c>
    </row>
    <row r="9" customFormat="false" ht="24" hidden="false" customHeight="true" outlineLevel="0" collapsed="false">
      <c r="A9" s="4" t="str">
        <f aca="false">IF('Evaluation HEAT'!A9="","",'Evaluation HEAT'!A9)</f>
        <v/>
      </c>
      <c r="B9" s="6" t="str">
        <f aca="false">IF('Evaluation HEAT'!A9="","",'Evaluation HEAT'!G9)</f>
        <v/>
      </c>
      <c r="C9" s="5" t="str">
        <f aca="false">IF('Evaluation HEAT'!A9="","",IF('Evaluation HEAT'!G9&gt;=3,"Critique",IF('Evaluation HEAT'!G9&gt;=2,"Elevee","Moderee")))</f>
        <v/>
      </c>
      <c r="D9" s="4" t="str">
        <f aca="false">IF('Evaluation HEAT'!A9="","",'Evaluation HEAT'!H9)</f>
        <v/>
      </c>
      <c r="E9" s="5" t="str">
        <f aca="false">IF('Evaluation HEAT'!A9="","",'Evaluation HEAT'!I9)</f>
        <v/>
      </c>
    </row>
    <row r="10" customFormat="false" ht="24" hidden="false" customHeight="true" outlineLevel="0" collapsed="false">
      <c r="A10" s="7" t="str">
        <f aca="false">IF('Evaluation HEAT'!A10="","",'Evaluation HEAT'!A10)</f>
        <v/>
      </c>
      <c r="B10" s="9" t="str">
        <f aca="false">IF('Evaluation HEAT'!A10="","",'Evaluation HEAT'!G10)</f>
        <v/>
      </c>
      <c r="C10" s="8" t="str">
        <f aca="false">IF('Evaluation HEAT'!A10="","",IF('Evaluation HEAT'!G10&gt;=3,"Critique",IF('Evaluation HEAT'!G10&gt;=2,"Elevee","Moderee")))</f>
        <v/>
      </c>
      <c r="D10" s="7" t="str">
        <f aca="false">IF('Evaluation HEAT'!A10="","",'Evaluation HEAT'!H10)</f>
        <v/>
      </c>
      <c r="E10" s="8" t="str">
        <f aca="false">IF('Evaluation HEAT'!A10="","",'Evaluation HEAT'!I10)</f>
        <v/>
      </c>
    </row>
    <row r="11" customFormat="false" ht="24" hidden="false" customHeight="true" outlineLevel="0" collapsed="false">
      <c r="A11" s="4" t="str">
        <f aca="false">IF('Evaluation HEAT'!A11="","",'Evaluation HEAT'!A11)</f>
        <v/>
      </c>
      <c r="B11" s="6" t="str">
        <f aca="false">IF('Evaluation HEAT'!A11="","",'Evaluation HEAT'!G11)</f>
        <v/>
      </c>
      <c r="C11" s="5" t="str">
        <f aca="false">IF('Evaluation HEAT'!A11="","",IF('Evaluation HEAT'!G11&gt;=3,"Critique",IF('Evaluation HEAT'!G11&gt;=2,"Elevee","Moderee")))</f>
        <v/>
      </c>
      <c r="D11" s="4" t="str">
        <f aca="false">IF('Evaluation HEAT'!A11="","",'Evaluation HEAT'!H11)</f>
        <v/>
      </c>
      <c r="E11" s="5" t="str">
        <f aca="false">IF('Evaluation HEAT'!A11="","",'Evaluation HEAT'!I11)</f>
        <v/>
      </c>
    </row>
    <row r="12" customFormat="false" ht="24" hidden="false" customHeight="true" outlineLevel="0" collapsed="false">
      <c r="A12" s="7" t="str">
        <f aca="false">IF('Evaluation HEAT'!A12="","",'Evaluation HEAT'!A12)</f>
        <v/>
      </c>
      <c r="B12" s="9" t="str">
        <f aca="false">IF('Evaluation HEAT'!A12="","",'Evaluation HEAT'!G12)</f>
        <v/>
      </c>
      <c r="C12" s="8" t="str">
        <f aca="false">IF('Evaluation HEAT'!A12="","",IF('Evaluation HEAT'!G12&gt;=3,"Critique",IF('Evaluation HEAT'!G12&gt;=2,"Elevee","Moderee")))</f>
        <v/>
      </c>
      <c r="D12" s="7" t="str">
        <f aca="false">IF('Evaluation HEAT'!A12="","",'Evaluation HEAT'!H12)</f>
        <v/>
      </c>
      <c r="E12" s="8" t="str">
        <f aca="false">IF('Evaluation HEAT'!A12="","",'Evaluation HEAT'!I12)</f>
        <v/>
      </c>
    </row>
    <row r="13" customFormat="false" ht="24" hidden="false" customHeight="true" outlineLevel="0" collapsed="false">
      <c r="A13" s="4" t="str">
        <f aca="false">IF('Evaluation HEAT'!A13="","",'Evaluation HEAT'!A13)</f>
        <v/>
      </c>
      <c r="B13" s="6" t="str">
        <f aca="false">IF('Evaluation HEAT'!A13="","",'Evaluation HEAT'!G13)</f>
        <v/>
      </c>
      <c r="C13" s="5" t="str">
        <f aca="false">IF('Evaluation HEAT'!A13="","",IF('Evaluation HEAT'!G13&gt;=3,"Critique",IF('Evaluation HEAT'!G13&gt;=2,"Elevee","Moderee")))</f>
        <v/>
      </c>
      <c r="D13" s="4" t="str">
        <f aca="false">IF('Evaluation HEAT'!A13="","",'Evaluation HEAT'!H13)</f>
        <v/>
      </c>
      <c r="E13" s="5" t="str">
        <f aca="false">IF('Evaluation HEAT'!A13="","",'Evaluation HEAT'!I13)</f>
        <v/>
      </c>
    </row>
    <row r="14" customFormat="false" ht="24" hidden="false" customHeight="true" outlineLevel="0" collapsed="false">
      <c r="A14" s="7" t="str">
        <f aca="false">IF('Evaluation HEAT'!A14="","",'Evaluation HEAT'!A14)</f>
        <v/>
      </c>
      <c r="B14" s="9" t="str">
        <f aca="false">IF('Evaluation HEAT'!A14="","",'Evaluation HEAT'!G14)</f>
        <v/>
      </c>
      <c r="C14" s="8" t="str">
        <f aca="false">IF('Evaluation HEAT'!A14="","",IF('Evaluation HEAT'!G14&gt;=3,"Critique",IF('Evaluation HEAT'!G14&gt;=2,"Elevee","Moderee")))</f>
        <v/>
      </c>
      <c r="D14" s="7" t="str">
        <f aca="false">IF('Evaluation HEAT'!A14="","",'Evaluation HEAT'!H14)</f>
        <v/>
      </c>
      <c r="E14" s="8" t="str">
        <f aca="false">IF('Evaluation HEAT'!A14="","",'Evaluation HEAT'!I14)</f>
        <v/>
      </c>
    </row>
    <row r="15" customFormat="false" ht="24" hidden="false" customHeight="true" outlineLevel="0" collapsed="false">
      <c r="A15" s="4" t="str">
        <f aca="false">IF('Evaluation HEAT'!A15="","",'Evaluation HEAT'!A15)</f>
        <v/>
      </c>
      <c r="B15" s="6" t="str">
        <f aca="false">IF('Evaluation HEAT'!A15="","",'Evaluation HEAT'!G15)</f>
        <v/>
      </c>
      <c r="C15" s="5" t="str">
        <f aca="false">IF('Evaluation HEAT'!A15="","",IF('Evaluation HEAT'!G15&gt;=3,"Critique",IF('Evaluation HEAT'!G15&gt;=2,"Elevee","Moderee")))</f>
        <v/>
      </c>
      <c r="D15" s="4" t="str">
        <f aca="false">IF('Evaluation HEAT'!A15="","",'Evaluation HEAT'!H15)</f>
        <v/>
      </c>
      <c r="E15" s="5" t="str">
        <f aca="false">IF('Evaluation HEAT'!A15="","",'Evaluation HEAT'!I15)</f>
        <v/>
      </c>
    </row>
    <row r="16" customFormat="false" ht="24" hidden="false" customHeight="true" outlineLevel="0" collapsed="false">
      <c r="A16" s="7" t="str">
        <f aca="false">IF('Evaluation HEAT'!A16="","",'Evaluation HEAT'!A16)</f>
        <v/>
      </c>
      <c r="B16" s="9" t="str">
        <f aca="false">IF('Evaluation HEAT'!A16="","",'Evaluation HEAT'!G16)</f>
        <v/>
      </c>
      <c r="C16" s="8" t="str">
        <f aca="false">IF('Evaluation HEAT'!A16="","",IF('Evaluation HEAT'!G16&gt;=3,"Critique",IF('Evaluation HEAT'!G16&gt;=2,"Elevee","Moderee")))</f>
        <v/>
      </c>
      <c r="D16" s="7" t="str">
        <f aca="false">IF('Evaluation HEAT'!A16="","",'Evaluation HEAT'!H16)</f>
        <v/>
      </c>
      <c r="E16" s="8" t="str">
        <f aca="false">IF('Evaluation HEAT'!A16="","",'Evaluation HEAT'!I16)</f>
        <v/>
      </c>
    </row>
    <row r="17" customFormat="false" ht="24" hidden="false" customHeight="true" outlineLevel="0" collapsed="false">
      <c r="A17" s="4" t="str">
        <f aca="false">IF('Evaluation HEAT'!A17="","",'Evaluation HEAT'!A17)</f>
        <v/>
      </c>
      <c r="B17" s="6" t="str">
        <f aca="false">IF('Evaluation HEAT'!A17="","",'Evaluation HEAT'!G17)</f>
        <v/>
      </c>
      <c r="C17" s="5" t="str">
        <f aca="false">IF('Evaluation HEAT'!A17="","",IF('Evaluation HEAT'!G17&gt;=3,"Critique",IF('Evaluation HEAT'!G17&gt;=2,"Elevee","Moderee")))</f>
        <v/>
      </c>
      <c r="D17" s="4" t="str">
        <f aca="false">IF('Evaluation HEAT'!A17="","",'Evaluation HEAT'!H17)</f>
        <v/>
      </c>
      <c r="E17" s="5" t="str">
        <f aca="false">IF('Evaluation HEAT'!A17="","",'Evaluation HEAT'!I17)</f>
        <v/>
      </c>
    </row>
    <row r="18" customFormat="false" ht="24" hidden="false" customHeight="true" outlineLevel="0" collapsed="false">
      <c r="A18" s="7" t="str">
        <f aca="false">IF('Evaluation HEAT'!A18="","",'Evaluation HEAT'!A18)</f>
        <v/>
      </c>
      <c r="B18" s="9" t="str">
        <f aca="false">IF('Evaluation HEAT'!A18="","",'Evaluation HEAT'!G18)</f>
        <v/>
      </c>
      <c r="C18" s="8" t="str">
        <f aca="false">IF('Evaluation HEAT'!A18="","",IF('Evaluation HEAT'!G18&gt;=3,"Critique",IF('Evaluation HEAT'!G18&gt;=2,"Elevee","Moderee")))</f>
        <v/>
      </c>
      <c r="D18" s="7" t="str">
        <f aca="false">IF('Evaluation HEAT'!A18="","",'Evaluation HEAT'!H18)</f>
        <v/>
      </c>
      <c r="E18" s="8" t="str">
        <f aca="false">IF('Evaluation HEAT'!A18="","",'Evaluation HEAT'!I18)</f>
        <v/>
      </c>
    </row>
    <row r="19" customFormat="false" ht="24" hidden="false" customHeight="true" outlineLevel="0" collapsed="false">
      <c r="A19" s="4" t="str">
        <f aca="false">IF('Evaluation HEAT'!A19="","",'Evaluation HEAT'!A19)</f>
        <v/>
      </c>
      <c r="B19" s="6" t="str">
        <f aca="false">IF('Evaluation HEAT'!A19="","",'Evaluation HEAT'!G19)</f>
        <v/>
      </c>
      <c r="C19" s="5" t="str">
        <f aca="false">IF('Evaluation HEAT'!A19="","",IF('Evaluation HEAT'!G19&gt;=3,"Critique",IF('Evaluation HEAT'!G19&gt;=2,"Elevee","Moderee")))</f>
        <v/>
      </c>
      <c r="D19" s="4" t="str">
        <f aca="false">IF('Evaluation HEAT'!A19="","",'Evaluation HEAT'!H19)</f>
        <v/>
      </c>
      <c r="E19" s="5" t="str">
        <f aca="false">IF('Evaluation HEAT'!A19="","",'Evaluation HEAT'!I19)</f>
        <v/>
      </c>
    </row>
    <row r="21" customFormat="false" ht="15" hidden="false" customHeight="false" outlineLevel="0" collapsed="false">
      <c r="A21" s="11" t="s">
        <v>30</v>
      </c>
      <c r="B21" s="12" t="n">
        <f aca="false">COUNTIF(A5:A19,"?*")</f>
        <v>3</v>
      </c>
    </row>
    <row r="22" customFormat="false" ht="15" hidden="false" customHeight="false" outlineLevel="0" collapsed="false">
      <c r="A22" s="11" t="s">
        <v>31</v>
      </c>
      <c r="B22" s="12" t="n">
        <f aca="false">COUNTIF(C5:C19,"Critique")</f>
        <v>1</v>
      </c>
    </row>
    <row r="23" customFormat="false" ht="15" hidden="false" customHeight="false" outlineLevel="0" collapsed="false">
      <c r="A23" s="11" t="s">
        <v>32</v>
      </c>
      <c r="B23" s="12" t="n">
        <f aca="false">COUNTIFS(C5:C19,"Critique",E5:E19,"A confirmer")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1" t="s">
        <v>33</v>
      </c>
      <c r="B1" s="1"/>
      <c r="C1" s="1"/>
    </row>
    <row r="2" customFormat="false" ht="15" hidden="false" customHeight="true" outlineLevel="0" collapsed="false">
      <c r="A2" s="2" t="s">
        <v>34</v>
      </c>
      <c r="B2" s="2"/>
      <c r="C2" s="2"/>
    </row>
    <row r="4" customFormat="false" ht="31.5" hidden="false" customHeight="true" outlineLevel="0" collapsed="false">
      <c r="A4" s="3" t="s">
        <v>35</v>
      </c>
      <c r="B4" s="3" t="s">
        <v>36</v>
      </c>
      <c r="C4" s="3" t="s">
        <v>37</v>
      </c>
    </row>
    <row r="5" customFormat="false" ht="25.5" hidden="false" customHeight="true" outlineLevel="0" collapsed="false">
      <c r="A5" s="5" t="s">
        <v>38</v>
      </c>
      <c r="B5" s="4" t="s">
        <v>39</v>
      </c>
      <c r="C5" s="13" t="n">
        <v>0.25</v>
      </c>
    </row>
    <row r="6" customFormat="false" ht="25.5" hidden="false" customHeight="true" outlineLevel="0" collapsed="false">
      <c r="A6" s="8" t="s">
        <v>40</v>
      </c>
      <c r="B6" s="7" t="s">
        <v>41</v>
      </c>
      <c r="C6" s="14" t="n">
        <v>0.25</v>
      </c>
    </row>
    <row r="7" customFormat="false" ht="25.5" hidden="false" customHeight="true" outlineLevel="0" collapsed="false">
      <c r="A7" s="5" t="s">
        <v>42</v>
      </c>
      <c r="B7" s="4" t="s">
        <v>43</v>
      </c>
      <c r="C7" s="13" t="n">
        <v>0.25</v>
      </c>
    </row>
    <row r="8" customFormat="false" ht="25.5" hidden="false" customHeight="true" outlineLevel="0" collapsed="false">
      <c r="A8" s="8" t="s">
        <v>44</v>
      </c>
      <c r="B8" s="7" t="s">
        <v>45</v>
      </c>
      <c r="C8" s="14" t="n">
        <v>0.25</v>
      </c>
    </row>
    <row r="10" customFormat="false" ht="15" hidden="false" customHeight="false" outlineLevel="0" collapsed="false">
      <c r="A10" s="11" t="s">
        <v>46</v>
      </c>
      <c r="C10" s="15" t="n">
        <f aca="false">SUM(C5:C8)</f>
        <v>1</v>
      </c>
    </row>
    <row r="12" customFormat="false" ht="30" hidden="false" customHeight="true" outlineLevel="0" collapsed="false">
      <c r="A12" s="16" t="s">
        <v>47</v>
      </c>
      <c r="B12" s="16"/>
      <c r="C12" s="16"/>
    </row>
  </sheetData>
  <mergeCells count="3">
    <mergeCell ref="A1:C1"/>
    <mergeCell ref="A2:C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2026-08-31T17:17:38Z</dcterms:created>
  <dc:creator>openpyxl</dc:creator>
  <dc:description/>
  <dc:language>fr-FR</dc:language>
  <cp:lastModifiedBy/>
  <dcterms:modified xsi:type="dcterms:W3CDTF">2026-08-31T17:17:38Z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