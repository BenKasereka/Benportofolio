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Véhicules" sheetId="1" state="visible" r:id="rId3"/>
    <sheet name="Trajets" sheetId="2" state="visible" r:id="rId4"/>
    <sheet name="Entretien" sheetId="3" state="visible" r:id="rId5"/>
    <sheet name="Tableau de bor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<sst xmlns="http://schemas.openxmlformats.org/spreadsheetml/2006/main" count="163" uniqueCount="94">
  <si>
    <t xml:space="preserve">PARC VÉHICULES</t>
  </si>
  <si>
    <t xml:space="preserve">Module 03 — Gestion de Flotte &amp; Transport en Zones Complexes — BK-BOOST Ltd.</t>
  </si>
  <si>
    <t xml:space="preserve">Immatriculation</t>
  </si>
  <si>
    <t xml:space="preserve">Modèle</t>
  </si>
  <si>
    <t xml:space="preserve">Date mise en service</t>
  </si>
  <si>
    <t xml:space="preserve">Conso. théorique (L/100km)</t>
  </si>
  <si>
    <t xml:space="preserve">Statut</t>
  </si>
  <si>
    <t xml:space="preserve">V-01</t>
  </si>
  <si>
    <t xml:space="preserve">Toyota Land Cruiser HZJ78</t>
  </si>
  <si>
    <t xml:space="preserve">2023-03-01</t>
  </si>
  <si>
    <t xml:space="preserve">En service</t>
  </si>
  <si>
    <t xml:space="preserve">V-02</t>
  </si>
  <si>
    <t xml:space="preserve">Toyota Hilux Double Cabine</t>
  </si>
  <si>
    <t xml:space="preserve">2022-07-15</t>
  </si>
  <si>
    <t xml:space="preserve">V-03</t>
  </si>
  <si>
    <t xml:space="preserve">Toyota Land Cruiser 200</t>
  </si>
  <si>
    <t xml:space="preserve">2021-11-10</t>
  </si>
  <si>
    <t xml:space="preserve">V-04</t>
  </si>
  <si>
    <t xml:space="preserve">Toyota Hiace (minibus)</t>
  </si>
  <si>
    <t xml:space="preserve">2020-05-20</t>
  </si>
  <si>
    <t xml:space="preserve">Légende : ajoutez une ligne par véhicule de la flotte. La consommation théorique sert de référence de comparaison dans l'onglet Trajets.</t>
  </si>
  <si>
    <t xml:space="preserve">JOURNAL DES TRAJETS</t>
  </si>
  <si>
    <t xml:space="preserve">Date</t>
  </si>
  <si>
    <t xml:space="preserve">Conducteur</t>
  </si>
  <si>
    <t xml:space="preserve">Motif du trajet</t>
  </si>
  <si>
    <t xml:space="preserve">Km départ</t>
  </si>
  <si>
    <t xml:space="preserve">Km arrivée</t>
  </si>
  <si>
    <t xml:space="preserve">Km parcourus</t>
  </si>
  <si>
    <t xml:space="preserve">Carburant pris (L)</t>
  </si>
  <si>
    <t xml:space="preserve">Conso. /100km</t>
  </si>
  <si>
    <t xml:space="preserve">Écart vs théorique</t>
  </si>
  <si>
    <t xml:space="preserve">Anomalie</t>
  </si>
  <si>
    <t xml:space="preserve">Mois</t>
  </si>
  <si>
    <t xml:space="preserve">2026-03-02</t>
  </si>
  <si>
    <t xml:space="preserve">Jean-Pierre Mumbere</t>
  </si>
  <si>
    <t xml:space="preserve">Approvisionnement carburant Goma</t>
  </si>
  <si>
    <t xml:space="preserve">2026-03-03</t>
  </si>
  <si>
    <t xml:space="preserve">Alice Kavira</t>
  </si>
  <si>
    <t xml:space="preserve">Distribution NFI</t>
  </si>
  <si>
    <t xml:space="preserve">2026-03-04</t>
  </si>
  <si>
    <t xml:space="preserve">Patrick Bahati</t>
  </si>
  <si>
    <t xml:space="preserve">Supervision médicale Rutshuru</t>
  </si>
  <si>
    <t xml:space="preserve">2026-03-05</t>
  </si>
  <si>
    <t xml:space="preserve">Réunion coordination Goma</t>
  </si>
  <si>
    <t xml:space="preserve">2026-03-06</t>
  </si>
  <si>
    <t xml:space="preserve">Espoir Katembo</t>
  </si>
  <si>
    <t xml:space="preserve">Transport équipe nutrition</t>
  </si>
  <si>
    <t xml:space="preserve">2026-03-09</t>
  </si>
  <si>
    <t xml:space="preserve">Approvisionnement entrepôt</t>
  </si>
  <si>
    <t xml:space="preserve">2026-03-10</t>
  </si>
  <si>
    <t xml:space="preserve">2026-03-11</t>
  </si>
  <si>
    <t xml:space="preserve">Visite site déplacés</t>
  </si>
  <si>
    <t xml:space="preserve">2026-03-12</t>
  </si>
  <si>
    <t xml:space="preserve">2026-03-13</t>
  </si>
  <si>
    <t xml:space="preserve">2026-03-16</t>
  </si>
  <si>
    <t xml:space="preserve">2026-03-17</t>
  </si>
  <si>
    <t xml:space="preserve">2026-03-18</t>
  </si>
  <si>
    <t xml:space="preserve">2026-03-19</t>
  </si>
  <si>
    <t xml:space="preserve">2026-03-20</t>
  </si>
  <si>
    <t xml:space="preserve">2026-03-23</t>
  </si>
  <si>
    <t xml:space="preserve">2026-03-24</t>
  </si>
  <si>
    <t xml:space="preserve">2026-03-25</t>
  </si>
  <si>
    <t xml:space="preserve">Convoi bloqué check-point Rutshuru — cf. étude de cas Module 03</t>
  </si>
  <si>
    <t xml:space="preserve">Légende : les colonnes Km parcourus, Conso. /100km, Conso. théorique, Écart et Anomalie se calculent automatiquement. Seuil d'alerte : écart &gt; 15% par rapport à la consommation théorique du véhicule.</t>
  </si>
  <si>
    <t xml:space="preserve">SUIVI ENTRETIEN &amp; RÉPARATIONS</t>
  </si>
  <si>
    <t xml:space="preserve">Type d'intervention</t>
  </si>
  <si>
    <t xml:space="preserve">Kilométrage</t>
  </si>
  <si>
    <t xml:space="preserve">Coût (USD)</t>
  </si>
  <si>
    <t xml:space="preserve">Vidange + filtres</t>
  </si>
  <si>
    <t xml:space="preserve">2026-03-08</t>
  </si>
  <si>
    <t xml:space="preserve">Contrôle freins + plaquettes</t>
  </si>
  <si>
    <t xml:space="preserve">2026-03-14</t>
  </si>
  <si>
    <t xml:space="preserve">Pneus (2x avant)</t>
  </si>
  <si>
    <t xml:space="preserve">Réparation suspension</t>
  </si>
  <si>
    <t xml:space="preserve">Légende : ajoutez une ligne à chaque intervention d'entretien ou de réparation. Ces coûts alimentent automatiquement le Tableau de bord.</t>
  </si>
  <si>
    <t xml:space="preserve">TABLEAU DE BORD FLOTTE</t>
  </si>
  <si>
    <t xml:space="preserve">Calculé automatiquement à partir des onglets Trajets et Entretien — ne pas modifier les formules.</t>
  </si>
  <si>
    <t xml:space="preserve">Paramètres</t>
  </si>
  <si>
    <t xml:space="preserve">Prix du carburant (USD/L)</t>
  </si>
  <si>
    <t xml:space="preserve">Modifiez ces deux cellules pour recalculer les synthèses ci-dessous pour un autre mois ou un autre prix du carburant.</t>
  </si>
  <si>
    <t xml:space="preserve">Mois analysé (AAAA-MM)</t>
  </si>
  <si>
    <t xml:space="preserve">2026-03</t>
  </si>
  <si>
    <t xml:space="preserve">Synthèse par véhicule — mois sélectionné</t>
  </si>
  <si>
    <t xml:space="preserve">Carburant (L)</t>
  </si>
  <si>
    <t xml:space="preserve">Coût carburant (USD)</t>
  </si>
  <si>
    <t xml:space="preserve">Coût entretien (USD)</t>
  </si>
  <si>
    <t xml:space="preserve">Coût total (USD)</t>
  </si>
  <si>
    <t xml:space="preserve">Coût / km (USD)</t>
  </si>
  <si>
    <t xml:space="preserve">TOTAL FLOTTE</t>
  </si>
  <si>
    <t xml:space="preserve">Synthèse par conducteur — mois sélectionné</t>
  </si>
  <si>
    <t xml:space="preserve">Nb. trajets</t>
  </si>
  <si>
    <t xml:space="preserve">Conso. moyenne /100km</t>
  </si>
  <si>
    <t xml:space="preserve">Écart moyen vs théorique</t>
  </si>
  <si>
    <t xml:space="preserve">Légende : ce tableau de bord agrège automatiquement les données des onglets Trajets et Entretien par véhicule et par conducteur, pour le mois indiqué en B6. Les cellules en surbrillance jaune (B5, B6) sont les seules à modifier manuellement.</t>
  </si>
</sst>
</file>

<file path=xl/styles.xml><?xml version="1.0" encoding="utf-8"?>
<styleSheet xmlns="http://schemas.openxmlformats.org/spreadsheetml/2006/main">
  <numFmts count="8">
    <numFmt numFmtId="164" formatCode="General"/>
    <numFmt numFmtId="165" formatCode="yyyy\-mm\-dd"/>
    <numFmt numFmtId="166" formatCode="0.0"/>
    <numFmt numFmtId="167" formatCode="0.0%"/>
    <numFmt numFmtId="168" formatCode="#,##0"/>
    <numFmt numFmtId="169" formatCode="#,##0.00"/>
    <numFmt numFmtId="170" formatCode="0.00"/>
    <numFmt numFmtId="171" formatCode="#,##0.0"/>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7280"/>
      <name val="Arial"/>
      <family val="0"/>
      <charset val="1"/>
    </font>
    <font>
      <b val="true"/>
      <sz val="10"/>
      <color rgb="FFFFFFFF"/>
      <name val="Arial"/>
      <family val="0"/>
      <charset val="1"/>
    </font>
    <font>
      <sz val="10"/>
      <name val="Arial"/>
      <family val="0"/>
      <charset val="1"/>
    </font>
    <font>
      <b val="true"/>
      <sz val="11"/>
      <color rgb="FF1E3A8A"/>
      <name val="Arial"/>
      <family val="0"/>
      <charset val="1"/>
    </font>
    <font>
      <b val="true"/>
      <sz val="10"/>
      <name val="Arial"/>
      <family val="0"/>
      <charset val="1"/>
    </font>
  </fonts>
  <fills count="7">
    <fill>
      <patternFill patternType="none"/>
    </fill>
    <fill>
      <patternFill patternType="gray125"/>
    </fill>
    <fill>
      <patternFill patternType="solid">
        <fgColor rgb="FF1E3A8A"/>
        <bgColor rgb="FF003366"/>
      </patternFill>
    </fill>
    <fill>
      <patternFill patternType="solid">
        <fgColor rgb="FF047857"/>
        <bgColor rgb="FF008080"/>
      </patternFill>
    </fill>
    <fill>
      <patternFill patternType="solid">
        <fgColor rgb="FFECFDF5"/>
        <bgColor rgb="FFFFFFFF"/>
      </patternFill>
    </fill>
    <fill>
      <patternFill patternType="solid">
        <fgColor rgb="FFFEF3C7"/>
        <bgColor rgb="FFFFFF99"/>
      </patternFill>
    </fill>
    <fill>
      <patternFill patternType="solid">
        <fgColor rgb="FFE5E7EB"/>
        <bgColor rgb="FFECFDF5"/>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8" fontId="7" fillId="4" borderId="1"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0" fontId="9" fillId="5"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71" fontId="7" fillId="4"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8" fontId="9" fillId="6" borderId="1" xfId="0" applyFont="true" applyBorder="true" applyAlignment="true" applyProtection="false">
      <alignment horizontal="center" vertical="center" textRotation="0" wrapText="false" indent="0" shrinkToFit="false"/>
      <protection locked="true" hidden="false"/>
    </xf>
    <xf numFmtId="171" fontId="9" fillId="6" borderId="1" xfId="0" applyFont="true" applyBorder="true" applyAlignment="true" applyProtection="false">
      <alignment horizontal="center" vertical="center" textRotation="0" wrapText="false" indent="0" shrinkToFit="false"/>
      <protection locked="true" hidden="false"/>
    </xf>
    <xf numFmtId="169" fontId="9"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991B1B"/>
        <sz val="10"/>
      </font>
      <fill>
        <patternFill>
          <bgColor rgb="FFFECACA"/>
        </patternFill>
      </fill>
    </dxf>
    <dxf>
      <fill>
        <patternFill>
          <bgColor rgb="FFECFD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7857"/>
      <rgbColor rgb="FFC0C0C0"/>
      <rgbColor rgb="FF808080"/>
      <rgbColor rgb="FF9999FF"/>
      <rgbColor rgb="FF993366"/>
      <rgbColor rgb="FFFEF3C7"/>
      <rgbColor rgb="FFECFDF5"/>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5E7EB"/>
      <rgbColor rgb="FFCCFFCC"/>
      <rgbColor rgb="FFFFFF99"/>
      <rgbColor rgb="FF99CCFF"/>
      <rgbColor rgb="FFFF99CC"/>
      <rgbColor rgb="FFCC99FF"/>
      <rgbColor rgb="FFFECACA"/>
      <rgbColor rgb="FF3366FF"/>
      <rgbColor rgb="FF33CCCC"/>
      <rgbColor rgb="FF99CC00"/>
      <rgbColor rgb="FFFFCC00"/>
      <rgbColor rgb="FFFF9900"/>
      <rgbColor rgb="FFFF6600"/>
      <rgbColor rgb="FF6B7280"/>
      <rgbColor rgb="FF969696"/>
      <rgbColor rgb="FF003366"/>
      <rgbColor rgb="FF339966"/>
      <rgbColor rgb="FF003300"/>
      <rgbColor rgb="FF333300"/>
      <rgbColor rgb="FF991B1B"/>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20"/>
    <col collapsed="false" customWidth="true" hidden="false" outlineLevel="0" max="4" min="4" style="0" width="24"/>
    <col collapsed="false" customWidth="true" hidden="false" outlineLevel="0" max="5" min="5" style="0" width="16"/>
  </cols>
  <sheetData>
    <row r="1" customFormat="false" ht="27.75" hidden="false" customHeight="true" outlineLevel="0" collapsed="false">
      <c r="A1" s="1" t="s">
        <v>0</v>
      </c>
      <c r="B1" s="1"/>
      <c r="C1" s="1"/>
      <c r="D1" s="1"/>
      <c r="E1" s="1"/>
    </row>
    <row r="2" customFormat="false" ht="15" hidden="false" customHeight="true" outlineLevel="0" collapsed="false">
      <c r="A2" s="2" t="s">
        <v>1</v>
      </c>
      <c r="B2" s="2"/>
      <c r="C2" s="2"/>
      <c r="D2" s="2"/>
      <c r="E2" s="2"/>
    </row>
    <row r="4" customFormat="false" ht="30" hidden="false" customHeight="true" outlineLevel="0" collapsed="false">
      <c r="A4" s="3" t="s">
        <v>2</v>
      </c>
      <c r="B4" s="3" t="s">
        <v>3</v>
      </c>
      <c r="C4" s="3" t="s">
        <v>4</v>
      </c>
      <c r="D4" s="3" t="s">
        <v>5</v>
      </c>
      <c r="E4" s="3" t="s">
        <v>6</v>
      </c>
    </row>
    <row r="5" customFormat="false" ht="15" hidden="false" customHeight="false" outlineLevel="0" collapsed="false">
      <c r="A5" s="4" t="s">
        <v>7</v>
      </c>
      <c r="B5" s="5" t="s">
        <v>8</v>
      </c>
      <c r="C5" s="6" t="s">
        <v>9</v>
      </c>
      <c r="D5" s="7" t="n">
        <v>14.5</v>
      </c>
      <c r="E5" s="4" t="s">
        <v>10</v>
      </c>
    </row>
    <row r="6" customFormat="false" ht="15" hidden="false" customHeight="false" outlineLevel="0" collapsed="false">
      <c r="A6" s="8" t="s">
        <v>11</v>
      </c>
      <c r="B6" s="9" t="s">
        <v>12</v>
      </c>
      <c r="C6" s="10" t="s">
        <v>13</v>
      </c>
      <c r="D6" s="11" t="n">
        <v>11</v>
      </c>
      <c r="E6" s="8" t="s">
        <v>10</v>
      </c>
    </row>
    <row r="7" customFormat="false" ht="15" hidden="false" customHeight="false" outlineLevel="0" collapsed="false">
      <c r="A7" s="4" t="s">
        <v>14</v>
      </c>
      <c r="B7" s="5" t="s">
        <v>15</v>
      </c>
      <c r="C7" s="6" t="s">
        <v>16</v>
      </c>
      <c r="D7" s="7" t="n">
        <v>15</v>
      </c>
      <c r="E7" s="4" t="s">
        <v>10</v>
      </c>
    </row>
    <row r="8" customFormat="false" ht="15" hidden="false" customHeight="false" outlineLevel="0" collapsed="false">
      <c r="A8" s="8" t="s">
        <v>17</v>
      </c>
      <c r="B8" s="9" t="s">
        <v>18</v>
      </c>
      <c r="C8" s="10" t="s">
        <v>19</v>
      </c>
      <c r="D8" s="11" t="n">
        <v>12.5</v>
      </c>
      <c r="E8" s="8" t="s">
        <v>10</v>
      </c>
    </row>
    <row r="9" customFormat="false" ht="15" hidden="false" customHeight="false" outlineLevel="0" collapsed="false">
      <c r="A9" s="4"/>
      <c r="B9" s="5"/>
      <c r="C9" s="4"/>
      <c r="D9" s="4"/>
      <c r="E9" s="4"/>
    </row>
    <row r="10" customFormat="false" ht="15" hidden="false" customHeight="false" outlineLevel="0" collapsed="false">
      <c r="A10" s="4"/>
      <c r="B10" s="5"/>
      <c r="C10" s="4"/>
      <c r="D10" s="4"/>
      <c r="E10" s="4"/>
    </row>
    <row r="11" customFormat="false" ht="15" hidden="false" customHeight="false" outlineLevel="0" collapsed="false">
      <c r="A11" s="4"/>
      <c r="B11" s="5"/>
      <c r="C11" s="4"/>
      <c r="D11" s="4"/>
      <c r="E11" s="4"/>
    </row>
    <row r="12" customFormat="false" ht="15" hidden="false" customHeight="false" outlineLevel="0" collapsed="false">
      <c r="A12" s="4"/>
      <c r="B12" s="5"/>
      <c r="C12" s="4"/>
      <c r="D12" s="4"/>
      <c r="E12" s="4"/>
    </row>
    <row r="13" customFormat="false" ht="15" hidden="false" customHeight="false" outlineLevel="0" collapsed="false">
      <c r="A13" s="4"/>
      <c r="B13" s="5"/>
      <c r="C13" s="4"/>
      <c r="D13" s="4"/>
      <c r="E13" s="4"/>
    </row>
    <row r="14" customFormat="false" ht="15" hidden="false" customHeight="false" outlineLevel="0" collapsed="false">
      <c r="A14" s="4"/>
      <c r="B14" s="5"/>
      <c r="C14" s="4"/>
      <c r="D14" s="4"/>
      <c r="E14" s="4"/>
    </row>
    <row r="15" customFormat="false" ht="15" hidden="false" customHeight="false" outlineLevel="0" collapsed="false">
      <c r="A15" s="12" t="s">
        <v>20</v>
      </c>
      <c r="B15" s="12"/>
      <c r="C15" s="12"/>
      <c r="D15" s="12"/>
      <c r="E15" s="12"/>
    </row>
  </sheetData>
  <mergeCells count="3">
    <mergeCell ref="A1:E1"/>
    <mergeCell ref="A2:E2"/>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4" min="4" style="0" width="26"/>
    <col collapsed="false" customWidth="true" hidden="false" outlineLevel="0" max="6" min="5" style="0" width="11"/>
    <col collapsed="false" customWidth="true" hidden="false" outlineLevel="0" max="7" min="7" style="0" width="12"/>
    <col collapsed="false" customWidth="true" hidden="false" outlineLevel="0" max="8" min="8" style="0" width="14"/>
    <col collapsed="false" customWidth="true" hidden="false" outlineLevel="0" max="9" min="9" style="0" width="13"/>
    <col collapsed="false" customWidth="true" hidden="false" outlineLevel="0" max="10" min="10" style="0" width="16"/>
    <col collapsed="false" customWidth="true" hidden="false" outlineLevel="0" max="11" min="11" style="0" width="13"/>
    <col collapsed="false" customWidth="true" hidden="false" outlineLevel="0" max="12" min="12" style="0" width="12"/>
    <col collapsed="false" customWidth="true" hidden="false" outlineLevel="0" max="13" min="13" style="0" width="10"/>
  </cols>
  <sheetData>
    <row r="1" customFormat="false" ht="27.75" hidden="false" customHeight="true" outlineLevel="0" collapsed="false">
      <c r="A1" s="1" t="s">
        <v>21</v>
      </c>
      <c r="B1" s="1"/>
      <c r="C1" s="1"/>
      <c r="D1" s="1"/>
      <c r="E1" s="1"/>
      <c r="F1" s="1"/>
      <c r="G1" s="1"/>
      <c r="H1" s="1"/>
      <c r="I1" s="1"/>
      <c r="J1" s="1"/>
      <c r="K1" s="1"/>
      <c r="L1" s="1"/>
      <c r="M1" s="1"/>
    </row>
    <row r="2" customFormat="false" ht="15" hidden="false" customHeight="true" outlineLevel="0" collapsed="false">
      <c r="A2" s="2" t="s">
        <v>1</v>
      </c>
      <c r="B2" s="2"/>
      <c r="C2" s="2"/>
      <c r="D2" s="2"/>
      <c r="E2" s="2"/>
      <c r="F2" s="2"/>
      <c r="G2" s="2"/>
      <c r="H2" s="2"/>
      <c r="I2" s="2"/>
      <c r="J2" s="2"/>
      <c r="K2" s="2"/>
      <c r="L2" s="2"/>
      <c r="M2" s="2"/>
    </row>
    <row r="4" customFormat="false" ht="30" hidden="false" customHeight="true" outlineLevel="0" collapsed="false">
      <c r="A4" s="3" t="s">
        <v>22</v>
      </c>
      <c r="B4" s="3" t="s">
        <v>2</v>
      </c>
      <c r="C4" s="3" t="s">
        <v>23</v>
      </c>
      <c r="D4" s="3" t="s">
        <v>24</v>
      </c>
      <c r="E4" s="3" t="s">
        <v>25</v>
      </c>
      <c r="F4" s="3" t="s">
        <v>26</v>
      </c>
      <c r="G4" s="3" t="s">
        <v>27</v>
      </c>
      <c r="H4" s="3" t="s">
        <v>28</v>
      </c>
      <c r="I4" s="3" t="s">
        <v>29</v>
      </c>
      <c r="J4" s="3" t="s">
        <v>5</v>
      </c>
      <c r="K4" s="3" t="s">
        <v>30</v>
      </c>
      <c r="L4" s="3" t="s">
        <v>31</v>
      </c>
      <c r="M4" s="3" t="s">
        <v>32</v>
      </c>
    </row>
    <row r="5" customFormat="false" ht="15" hidden="false" customHeight="false" outlineLevel="0" collapsed="false">
      <c r="A5" s="6" t="s">
        <v>33</v>
      </c>
      <c r="B5" s="4" t="s">
        <v>7</v>
      </c>
      <c r="C5" s="5" t="s">
        <v>34</v>
      </c>
      <c r="D5" s="5" t="s">
        <v>35</v>
      </c>
      <c r="E5" s="4" t="n">
        <v>40120</v>
      </c>
      <c r="F5" s="4" t="n">
        <v>40180</v>
      </c>
      <c r="G5" s="4" t="n">
        <f aca="false">IF(AND(E5&lt;&gt;"",F5&lt;&gt;""),F5-E5,"")</f>
        <v>60</v>
      </c>
      <c r="H5" s="4" t="n">
        <v>8.9</v>
      </c>
      <c r="I5" s="7" t="n">
        <f aca="false">IFERROR(IF(OR(G5="",G5=0),"",(H5/G5)*100),"")</f>
        <v>14.8333333333333</v>
      </c>
      <c r="J5" s="7" t="n">
        <f aca="false">IFERROR(VLOOKUP(B5,Véhicules!$A$5:$D$14,4,FALSE()),"")</f>
        <v>14.5</v>
      </c>
      <c r="K5" s="13" t="n">
        <f aca="false">IFERROR(IF(OR(I5="",J5="",J5=0),"",(I5-J5)/J5),"")</f>
        <v>0.0229885057471265</v>
      </c>
      <c r="L5" s="4" t="str">
        <f aca="false">IF(K5="","",IF(ABS(K5)&gt;0.15,"ANOMALIE","OK"))</f>
        <v>OK</v>
      </c>
      <c r="M5" s="4" t="str">
        <f aca="false">IF(A5="","",TEXT(A5,"yyyy-mm"))</f>
        <v>2026-03</v>
      </c>
    </row>
    <row r="6" customFormat="false" ht="15" hidden="false" customHeight="false" outlineLevel="0" collapsed="false">
      <c r="A6" s="10" t="s">
        <v>36</v>
      </c>
      <c r="B6" s="8" t="s">
        <v>11</v>
      </c>
      <c r="C6" s="9" t="s">
        <v>37</v>
      </c>
      <c r="D6" s="9" t="s">
        <v>38</v>
      </c>
      <c r="E6" s="8" t="n">
        <v>15230</v>
      </c>
      <c r="F6" s="8" t="n">
        <v>15265</v>
      </c>
      <c r="G6" s="8" t="n">
        <f aca="false">IF(AND(E6&lt;&gt;"",F6&lt;&gt;""),F6-E6,"")</f>
        <v>35</v>
      </c>
      <c r="H6" s="8" t="n">
        <v>3.8</v>
      </c>
      <c r="I6" s="11" t="n">
        <f aca="false">IFERROR(IF(OR(G6="",G6=0),"",(H6/G6)*100),"")</f>
        <v>10.8571428571429</v>
      </c>
      <c r="J6" s="11" t="n">
        <f aca="false">IFERROR(VLOOKUP(B6,Véhicules!$A$5:$D$14,4,FALSE()),"")</f>
        <v>11</v>
      </c>
      <c r="K6" s="14" t="n">
        <f aca="false">IFERROR(IF(OR(I6="",J6="",J6=0),"",(I6-J6)/J6),"")</f>
        <v>-0.0129870129870129</v>
      </c>
      <c r="L6" s="8" t="str">
        <f aca="false">IF(K6="","",IF(ABS(K6)&gt;0.15,"ANOMALIE","OK"))</f>
        <v>OK</v>
      </c>
      <c r="M6" s="8" t="str">
        <f aca="false">IF(A6="","",TEXT(A6,"yyyy-mm"))</f>
        <v>2026-03</v>
      </c>
    </row>
    <row r="7" customFormat="false" ht="15" hidden="false" customHeight="false" outlineLevel="0" collapsed="false">
      <c r="A7" s="6" t="s">
        <v>39</v>
      </c>
      <c r="B7" s="4" t="s">
        <v>14</v>
      </c>
      <c r="C7" s="5" t="s">
        <v>40</v>
      </c>
      <c r="D7" s="5" t="s">
        <v>41</v>
      </c>
      <c r="E7" s="4" t="n">
        <v>61410</v>
      </c>
      <c r="F7" s="4" t="n">
        <v>61460</v>
      </c>
      <c r="G7" s="4" t="n">
        <f aca="false">IF(AND(E7&lt;&gt;"",F7&lt;&gt;""),F7-E7,"")</f>
        <v>50</v>
      </c>
      <c r="H7" s="4" t="n">
        <v>7.6</v>
      </c>
      <c r="I7" s="7" t="n">
        <f aca="false">IFERROR(IF(OR(G7="",G7=0),"",(H7/G7)*100),"")</f>
        <v>15.2</v>
      </c>
      <c r="J7" s="7" t="n">
        <f aca="false">IFERROR(VLOOKUP(B7,Véhicules!$A$5:$D$14,4,FALSE()),"")</f>
        <v>15</v>
      </c>
      <c r="K7" s="13" t="n">
        <f aca="false">IFERROR(IF(OR(I7="",J7="",J7=0),"",(I7-J7)/J7),"")</f>
        <v>0.0133333333333333</v>
      </c>
      <c r="L7" s="4" t="str">
        <f aca="false">IF(K7="","",IF(ABS(K7)&gt;0.15,"ANOMALIE","OK"))</f>
        <v>OK</v>
      </c>
      <c r="M7" s="4" t="str">
        <f aca="false">IF(A7="","",TEXT(A7,"yyyy-mm"))</f>
        <v>2026-03</v>
      </c>
    </row>
    <row r="8" customFormat="false" ht="15" hidden="false" customHeight="false" outlineLevel="0" collapsed="false">
      <c r="A8" s="10" t="s">
        <v>42</v>
      </c>
      <c r="B8" s="8" t="s">
        <v>7</v>
      </c>
      <c r="C8" s="9" t="s">
        <v>34</v>
      </c>
      <c r="D8" s="9" t="s">
        <v>43</v>
      </c>
      <c r="E8" s="8" t="n">
        <v>40180</v>
      </c>
      <c r="F8" s="8" t="n">
        <v>40202</v>
      </c>
      <c r="G8" s="8" t="n">
        <f aca="false">IF(AND(E8&lt;&gt;"",F8&lt;&gt;""),F8-E8,"")</f>
        <v>22</v>
      </c>
      <c r="H8" s="8" t="n">
        <v>3.1</v>
      </c>
      <c r="I8" s="11" t="n">
        <f aca="false">IFERROR(IF(OR(G8="",G8=0),"",(H8/G8)*100),"")</f>
        <v>14.0909090909091</v>
      </c>
      <c r="J8" s="11" t="n">
        <f aca="false">IFERROR(VLOOKUP(B8,Véhicules!$A$5:$D$14,4,FALSE()),"")</f>
        <v>14.5</v>
      </c>
      <c r="K8" s="14" t="n">
        <f aca="false">IFERROR(IF(OR(I8="",J8="",J8=0),"",(I8-J8)/J8),"")</f>
        <v>-0.0282131661442007</v>
      </c>
      <c r="L8" s="8" t="str">
        <f aca="false">IF(K8="","",IF(ABS(K8)&gt;0.15,"ANOMALIE","OK"))</f>
        <v>OK</v>
      </c>
      <c r="M8" s="8" t="str">
        <f aca="false">IF(A8="","",TEXT(A8,"yyyy-mm"))</f>
        <v>2026-03</v>
      </c>
    </row>
    <row r="9" customFormat="false" ht="15" hidden="false" customHeight="false" outlineLevel="0" collapsed="false">
      <c r="A9" s="6" t="s">
        <v>44</v>
      </c>
      <c r="B9" s="4" t="s">
        <v>17</v>
      </c>
      <c r="C9" s="5" t="s">
        <v>45</v>
      </c>
      <c r="D9" s="5" t="s">
        <v>46</v>
      </c>
      <c r="E9" s="4" t="n">
        <v>22110</v>
      </c>
      <c r="F9" s="4" t="n">
        <v>22140</v>
      </c>
      <c r="G9" s="4" t="n">
        <f aca="false">IF(AND(E9&lt;&gt;"",F9&lt;&gt;""),F9-E9,"")</f>
        <v>30</v>
      </c>
      <c r="H9" s="4" t="n">
        <v>3.7</v>
      </c>
      <c r="I9" s="7" t="n">
        <f aca="false">IFERROR(IF(OR(G9="",G9=0),"",(H9/G9)*100),"")</f>
        <v>12.3333333333333</v>
      </c>
      <c r="J9" s="7" t="n">
        <f aca="false">IFERROR(VLOOKUP(B9,Véhicules!$A$5:$D$14,4,FALSE()),"")</f>
        <v>12.5</v>
      </c>
      <c r="K9" s="13" t="n">
        <f aca="false">IFERROR(IF(OR(I9="",J9="",J9=0),"",(I9-J9)/J9),"")</f>
        <v>-0.0133333333333333</v>
      </c>
      <c r="L9" s="4" t="str">
        <f aca="false">IF(K9="","",IF(ABS(K9)&gt;0.15,"ANOMALIE","OK"))</f>
        <v>OK</v>
      </c>
      <c r="M9" s="4" t="str">
        <f aca="false">IF(A9="","",TEXT(A9,"yyyy-mm"))</f>
        <v>2026-03</v>
      </c>
    </row>
    <row r="10" customFormat="false" ht="15" hidden="false" customHeight="false" outlineLevel="0" collapsed="false">
      <c r="A10" s="10" t="s">
        <v>47</v>
      </c>
      <c r="B10" s="8" t="s">
        <v>11</v>
      </c>
      <c r="C10" s="9" t="s">
        <v>37</v>
      </c>
      <c r="D10" s="9" t="s">
        <v>48</v>
      </c>
      <c r="E10" s="8" t="n">
        <v>15265</v>
      </c>
      <c r="F10" s="8" t="n">
        <v>15305</v>
      </c>
      <c r="G10" s="8" t="n">
        <f aca="false">IF(AND(E10&lt;&gt;"",F10&lt;&gt;""),F10-E10,"")</f>
        <v>40</v>
      </c>
      <c r="H10" s="8" t="n">
        <v>4.5</v>
      </c>
      <c r="I10" s="11" t="n">
        <f aca="false">IFERROR(IF(OR(G10="",G10=0),"",(H10/G10)*100),"")</f>
        <v>11.25</v>
      </c>
      <c r="J10" s="11" t="n">
        <f aca="false">IFERROR(VLOOKUP(B10,Véhicules!$A$5:$D$14,4,FALSE()),"")</f>
        <v>11</v>
      </c>
      <c r="K10" s="14" t="n">
        <f aca="false">IFERROR(IF(OR(I10="",J10="",J10=0),"",(I10-J10)/J10),"")</f>
        <v>0.0227272727272727</v>
      </c>
      <c r="L10" s="8" t="str">
        <f aca="false">IF(K10="","",IF(ABS(K10)&gt;0.15,"ANOMALIE","OK"))</f>
        <v>OK</v>
      </c>
      <c r="M10" s="8" t="str">
        <f aca="false">IF(A10="","",TEXT(A10,"yyyy-mm"))</f>
        <v>2026-03</v>
      </c>
    </row>
    <row r="11" customFormat="false" ht="15" hidden="false" customHeight="false" outlineLevel="0" collapsed="false">
      <c r="A11" s="6" t="s">
        <v>49</v>
      </c>
      <c r="B11" s="4" t="s">
        <v>14</v>
      </c>
      <c r="C11" s="5" t="s">
        <v>40</v>
      </c>
      <c r="D11" s="5" t="s">
        <v>41</v>
      </c>
      <c r="E11" s="4" t="n">
        <v>61460</v>
      </c>
      <c r="F11" s="4" t="n">
        <v>61510</v>
      </c>
      <c r="G11" s="4" t="n">
        <f aca="false">IF(AND(E11&lt;&gt;"",F11&lt;&gt;""),F11-E11,"")</f>
        <v>50</v>
      </c>
      <c r="H11" s="4" t="n">
        <v>7.7</v>
      </c>
      <c r="I11" s="7" t="n">
        <f aca="false">IFERROR(IF(OR(G11="",G11=0),"",(H11/G11)*100),"")</f>
        <v>15.4</v>
      </c>
      <c r="J11" s="7" t="n">
        <f aca="false">IFERROR(VLOOKUP(B11,Véhicules!$A$5:$D$14,4,FALSE()),"")</f>
        <v>15</v>
      </c>
      <c r="K11" s="13" t="n">
        <f aca="false">IFERROR(IF(OR(I11="",J11="",J11=0),"",(I11-J11)/J11),"")</f>
        <v>0.0266666666666667</v>
      </c>
      <c r="L11" s="4" t="str">
        <f aca="false">IF(K11="","",IF(ABS(K11)&gt;0.15,"ANOMALIE","OK"))</f>
        <v>OK</v>
      </c>
      <c r="M11" s="4" t="str">
        <f aca="false">IF(A11="","",TEXT(A11,"yyyy-mm"))</f>
        <v>2026-03</v>
      </c>
    </row>
    <row r="12" customFormat="false" ht="15" hidden="false" customHeight="false" outlineLevel="0" collapsed="false">
      <c r="A12" s="10" t="s">
        <v>50</v>
      </c>
      <c r="B12" s="8" t="s">
        <v>7</v>
      </c>
      <c r="C12" s="9" t="s">
        <v>34</v>
      </c>
      <c r="D12" s="9" t="s">
        <v>51</v>
      </c>
      <c r="E12" s="8" t="n">
        <v>40202</v>
      </c>
      <c r="F12" s="8" t="n">
        <v>40250</v>
      </c>
      <c r="G12" s="8" t="n">
        <f aca="false">IF(AND(E12&lt;&gt;"",F12&lt;&gt;""),F12-E12,"")</f>
        <v>48</v>
      </c>
      <c r="H12" s="8" t="n">
        <v>7.2</v>
      </c>
      <c r="I12" s="11" t="n">
        <f aca="false">IFERROR(IF(OR(G12="",G12=0),"",(H12/G12)*100),"")</f>
        <v>15</v>
      </c>
      <c r="J12" s="11" t="n">
        <f aca="false">IFERROR(VLOOKUP(B12,Véhicules!$A$5:$D$14,4,FALSE()),"")</f>
        <v>14.5</v>
      </c>
      <c r="K12" s="14" t="n">
        <f aca="false">IFERROR(IF(OR(I12="",J12="",J12=0),"",(I12-J12)/J12),"")</f>
        <v>0.0344827586206897</v>
      </c>
      <c r="L12" s="8" t="str">
        <f aca="false">IF(K12="","",IF(ABS(K12)&gt;0.15,"ANOMALIE","OK"))</f>
        <v>OK</v>
      </c>
      <c r="M12" s="8" t="str">
        <f aca="false">IF(A12="","",TEXT(A12,"yyyy-mm"))</f>
        <v>2026-03</v>
      </c>
    </row>
    <row r="13" customFormat="false" ht="15" hidden="false" customHeight="false" outlineLevel="0" collapsed="false">
      <c r="A13" s="6" t="s">
        <v>52</v>
      </c>
      <c r="B13" s="4" t="s">
        <v>17</v>
      </c>
      <c r="C13" s="5" t="s">
        <v>45</v>
      </c>
      <c r="D13" s="5" t="s">
        <v>46</v>
      </c>
      <c r="E13" s="4" t="n">
        <v>22140</v>
      </c>
      <c r="F13" s="4" t="n">
        <v>22170</v>
      </c>
      <c r="G13" s="4" t="n">
        <f aca="false">IF(AND(E13&lt;&gt;"",F13&lt;&gt;""),F13-E13,"")</f>
        <v>30</v>
      </c>
      <c r="H13" s="4" t="n">
        <v>3.8</v>
      </c>
      <c r="I13" s="7" t="n">
        <f aca="false">IFERROR(IF(OR(G13="",G13=0),"",(H13/G13)*100),"")</f>
        <v>12.6666666666667</v>
      </c>
      <c r="J13" s="7" t="n">
        <f aca="false">IFERROR(VLOOKUP(B13,Véhicules!$A$5:$D$14,4,FALSE()),"")</f>
        <v>12.5</v>
      </c>
      <c r="K13" s="13" t="n">
        <f aca="false">IFERROR(IF(OR(I13="",J13="",J13=0),"",(I13-J13)/J13),"")</f>
        <v>0.0133333333333331</v>
      </c>
      <c r="L13" s="4" t="str">
        <f aca="false">IF(K13="","",IF(ABS(K13)&gt;0.15,"ANOMALIE","OK"))</f>
        <v>OK</v>
      </c>
      <c r="M13" s="4" t="str">
        <f aca="false">IF(A13="","",TEXT(A13,"yyyy-mm"))</f>
        <v>2026-03</v>
      </c>
    </row>
    <row r="14" customFormat="false" ht="15" hidden="false" customHeight="false" outlineLevel="0" collapsed="false">
      <c r="A14" s="10" t="s">
        <v>53</v>
      </c>
      <c r="B14" s="8" t="s">
        <v>14</v>
      </c>
      <c r="C14" s="9" t="s">
        <v>40</v>
      </c>
      <c r="D14" s="9" t="s">
        <v>41</v>
      </c>
      <c r="E14" s="8" t="n">
        <v>61510</v>
      </c>
      <c r="F14" s="8" t="n">
        <v>61560</v>
      </c>
      <c r="G14" s="8" t="n">
        <f aca="false">IF(AND(E14&lt;&gt;"",F14&lt;&gt;""),F14-E14,"")</f>
        <v>50</v>
      </c>
      <c r="H14" s="8" t="n">
        <v>8.8</v>
      </c>
      <c r="I14" s="11" t="n">
        <f aca="false">IFERROR(IF(OR(G14="",G14=0),"",(H14/G14)*100),"")</f>
        <v>17.6</v>
      </c>
      <c r="J14" s="11" t="n">
        <f aca="false">IFERROR(VLOOKUP(B14,Véhicules!$A$5:$D$14,4,FALSE()),"")</f>
        <v>15</v>
      </c>
      <c r="K14" s="14" t="n">
        <f aca="false">IFERROR(IF(OR(I14="",J14="",J14=0),"",(I14-J14)/J14),"")</f>
        <v>0.173333333333333</v>
      </c>
      <c r="L14" s="8" t="str">
        <f aca="false">IF(K14="","",IF(ABS(K14)&gt;0.15,"ANOMALIE","OK"))</f>
        <v>ANOMALIE</v>
      </c>
      <c r="M14" s="8" t="str">
        <f aca="false">IF(A14="","",TEXT(A14,"yyyy-mm"))</f>
        <v>2026-03</v>
      </c>
    </row>
    <row r="15" customFormat="false" ht="15" hidden="false" customHeight="false" outlineLevel="0" collapsed="false">
      <c r="A15" s="6" t="s">
        <v>54</v>
      </c>
      <c r="B15" s="4" t="s">
        <v>11</v>
      </c>
      <c r="C15" s="5" t="s">
        <v>37</v>
      </c>
      <c r="D15" s="5" t="s">
        <v>38</v>
      </c>
      <c r="E15" s="4" t="n">
        <v>15305</v>
      </c>
      <c r="F15" s="4" t="n">
        <v>15340</v>
      </c>
      <c r="G15" s="4" t="n">
        <f aca="false">IF(AND(E15&lt;&gt;"",F15&lt;&gt;""),F15-E15,"")</f>
        <v>35</v>
      </c>
      <c r="H15" s="4" t="n">
        <v>3.7</v>
      </c>
      <c r="I15" s="7" t="n">
        <f aca="false">IFERROR(IF(OR(G15="",G15=0),"",(H15/G15)*100),"")</f>
        <v>10.5714285714286</v>
      </c>
      <c r="J15" s="7" t="n">
        <f aca="false">IFERROR(VLOOKUP(B15,Véhicules!$A$5:$D$14,4,FALSE()),"")</f>
        <v>11</v>
      </c>
      <c r="K15" s="13" t="n">
        <f aca="false">IFERROR(IF(OR(I15="",J15="",J15=0),"",(I15-J15)/J15),"")</f>
        <v>-0.038961038961039</v>
      </c>
      <c r="L15" s="4" t="str">
        <f aca="false">IF(K15="","",IF(ABS(K15)&gt;0.15,"ANOMALIE","OK"))</f>
        <v>OK</v>
      </c>
      <c r="M15" s="4" t="str">
        <f aca="false">IF(A15="","",TEXT(A15,"yyyy-mm"))</f>
        <v>2026-03</v>
      </c>
    </row>
    <row r="16" customFormat="false" ht="15" hidden="false" customHeight="false" outlineLevel="0" collapsed="false">
      <c r="A16" s="10" t="s">
        <v>55</v>
      </c>
      <c r="B16" s="8" t="s">
        <v>7</v>
      </c>
      <c r="C16" s="9" t="s">
        <v>34</v>
      </c>
      <c r="D16" s="9" t="s">
        <v>35</v>
      </c>
      <c r="E16" s="8" t="n">
        <v>40250</v>
      </c>
      <c r="F16" s="8" t="n">
        <v>40310</v>
      </c>
      <c r="G16" s="8" t="n">
        <f aca="false">IF(AND(E16&lt;&gt;"",F16&lt;&gt;""),F16-E16,"")</f>
        <v>60</v>
      </c>
      <c r="H16" s="8" t="n">
        <v>8.8</v>
      </c>
      <c r="I16" s="11" t="n">
        <f aca="false">IFERROR(IF(OR(G16="",G16=0),"",(H16/G16)*100),"")</f>
        <v>14.6666666666667</v>
      </c>
      <c r="J16" s="11" t="n">
        <f aca="false">IFERROR(VLOOKUP(B16,Véhicules!$A$5:$D$14,4,FALSE()),"")</f>
        <v>14.5</v>
      </c>
      <c r="K16" s="14" t="n">
        <f aca="false">IFERROR(IF(OR(I16="",J16="",J16=0),"",(I16-J16)/J16),"")</f>
        <v>0.0114942528735632</v>
      </c>
      <c r="L16" s="8" t="str">
        <f aca="false">IF(K16="","",IF(ABS(K16)&gt;0.15,"ANOMALIE","OK"))</f>
        <v>OK</v>
      </c>
      <c r="M16" s="8" t="str">
        <f aca="false">IF(A16="","",TEXT(A16,"yyyy-mm"))</f>
        <v>2026-03</v>
      </c>
    </row>
    <row r="17" customFormat="false" ht="15" hidden="false" customHeight="false" outlineLevel="0" collapsed="false">
      <c r="A17" s="6" t="s">
        <v>56</v>
      </c>
      <c r="B17" s="4" t="s">
        <v>14</v>
      </c>
      <c r="C17" s="5" t="s">
        <v>40</v>
      </c>
      <c r="D17" s="5" t="s">
        <v>41</v>
      </c>
      <c r="E17" s="4" t="n">
        <v>61560</v>
      </c>
      <c r="F17" s="4" t="n">
        <v>61610</v>
      </c>
      <c r="G17" s="4" t="n">
        <f aca="false">IF(AND(E17&lt;&gt;"",F17&lt;&gt;""),F17-E17,"")</f>
        <v>50</v>
      </c>
      <c r="H17" s="4" t="n">
        <v>8.9</v>
      </c>
      <c r="I17" s="7" t="n">
        <f aca="false">IFERROR(IF(OR(G17="",G17=0),"",(H17/G17)*100),"")</f>
        <v>17.8</v>
      </c>
      <c r="J17" s="7" t="n">
        <f aca="false">IFERROR(VLOOKUP(B17,Véhicules!$A$5:$D$14,4,FALSE()),"")</f>
        <v>15</v>
      </c>
      <c r="K17" s="13" t="n">
        <f aca="false">IFERROR(IF(OR(I17="",J17="",J17=0),"",(I17-J17)/J17),"")</f>
        <v>0.186666666666667</v>
      </c>
      <c r="L17" s="4" t="str">
        <f aca="false">IF(K17="","",IF(ABS(K17)&gt;0.15,"ANOMALIE","OK"))</f>
        <v>ANOMALIE</v>
      </c>
      <c r="M17" s="4" t="str">
        <f aca="false">IF(A17="","",TEXT(A17,"yyyy-mm"))</f>
        <v>2026-03</v>
      </c>
    </row>
    <row r="18" customFormat="false" ht="15" hidden="false" customHeight="false" outlineLevel="0" collapsed="false">
      <c r="A18" s="10" t="s">
        <v>57</v>
      </c>
      <c r="B18" s="8" t="s">
        <v>17</v>
      </c>
      <c r="C18" s="9" t="s">
        <v>45</v>
      </c>
      <c r="D18" s="9" t="s">
        <v>46</v>
      </c>
      <c r="E18" s="8" t="n">
        <v>22170</v>
      </c>
      <c r="F18" s="8" t="n">
        <v>22200</v>
      </c>
      <c r="G18" s="8" t="n">
        <f aca="false">IF(AND(E18&lt;&gt;"",F18&lt;&gt;""),F18-E18,"")</f>
        <v>30</v>
      </c>
      <c r="H18" s="8" t="n">
        <v>3.6</v>
      </c>
      <c r="I18" s="11" t="n">
        <f aca="false">IFERROR(IF(OR(G18="",G18=0),"",(H18/G18)*100),"")</f>
        <v>12</v>
      </c>
      <c r="J18" s="11" t="n">
        <f aca="false">IFERROR(VLOOKUP(B18,Véhicules!$A$5:$D$14,4,FALSE()),"")</f>
        <v>12.5</v>
      </c>
      <c r="K18" s="14" t="n">
        <f aca="false">IFERROR(IF(OR(I18="",J18="",J18=0),"",(I18-J18)/J18),"")</f>
        <v>-0.0399999999999999</v>
      </c>
      <c r="L18" s="8" t="str">
        <f aca="false">IF(K18="","",IF(ABS(K18)&gt;0.15,"ANOMALIE","OK"))</f>
        <v>OK</v>
      </c>
      <c r="M18" s="8" t="str">
        <f aca="false">IF(A18="","",TEXT(A18,"yyyy-mm"))</f>
        <v>2026-03</v>
      </c>
    </row>
    <row r="19" customFormat="false" ht="15" hidden="false" customHeight="false" outlineLevel="0" collapsed="false">
      <c r="A19" s="6" t="s">
        <v>58</v>
      </c>
      <c r="B19" s="4" t="s">
        <v>14</v>
      </c>
      <c r="C19" s="5" t="s">
        <v>40</v>
      </c>
      <c r="D19" s="5" t="s">
        <v>41</v>
      </c>
      <c r="E19" s="4" t="n">
        <v>61610</v>
      </c>
      <c r="F19" s="4" t="n">
        <v>61660</v>
      </c>
      <c r="G19" s="4" t="n">
        <f aca="false">IF(AND(E19&lt;&gt;"",F19&lt;&gt;""),F19-E19,"")</f>
        <v>50</v>
      </c>
      <c r="H19" s="4" t="n">
        <v>9</v>
      </c>
      <c r="I19" s="7" t="n">
        <f aca="false">IFERROR(IF(OR(G19="",G19=0),"",(H19/G19)*100),"")</f>
        <v>18</v>
      </c>
      <c r="J19" s="7" t="n">
        <f aca="false">IFERROR(VLOOKUP(B19,Véhicules!$A$5:$D$14,4,FALSE()),"")</f>
        <v>15</v>
      </c>
      <c r="K19" s="13" t="n">
        <f aca="false">IFERROR(IF(OR(I19="",J19="",J19=0),"",(I19-J19)/J19),"")</f>
        <v>0.2</v>
      </c>
      <c r="L19" s="4" t="str">
        <f aca="false">IF(K19="","",IF(ABS(K19)&gt;0.15,"ANOMALIE","OK"))</f>
        <v>ANOMALIE</v>
      </c>
      <c r="M19" s="4" t="str">
        <f aca="false">IF(A19="","",TEXT(A19,"yyyy-mm"))</f>
        <v>2026-03</v>
      </c>
    </row>
    <row r="20" customFormat="false" ht="15" hidden="false" customHeight="false" outlineLevel="0" collapsed="false">
      <c r="A20" s="10" t="s">
        <v>59</v>
      </c>
      <c r="B20" s="8" t="s">
        <v>11</v>
      </c>
      <c r="C20" s="9" t="s">
        <v>37</v>
      </c>
      <c r="D20" s="9" t="s">
        <v>48</v>
      </c>
      <c r="E20" s="8" t="n">
        <v>15340</v>
      </c>
      <c r="F20" s="8" t="n">
        <v>15380</v>
      </c>
      <c r="G20" s="8" t="n">
        <f aca="false">IF(AND(E20&lt;&gt;"",F20&lt;&gt;""),F20-E20,"")</f>
        <v>40</v>
      </c>
      <c r="H20" s="8" t="n">
        <v>4.6</v>
      </c>
      <c r="I20" s="11" t="n">
        <f aca="false">IFERROR(IF(OR(G20="",G20=0),"",(H20/G20)*100),"")</f>
        <v>11.5</v>
      </c>
      <c r="J20" s="11" t="n">
        <f aca="false">IFERROR(VLOOKUP(B20,Véhicules!$A$5:$D$14,4,FALSE()),"")</f>
        <v>11</v>
      </c>
      <c r="K20" s="14" t="n">
        <f aca="false">IFERROR(IF(OR(I20="",J20="",J20=0),"",(I20-J20)/J20),"")</f>
        <v>0.0454545454545455</v>
      </c>
      <c r="L20" s="8" t="str">
        <f aca="false">IF(K20="","",IF(ABS(K20)&gt;0.15,"ANOMALIE","OK"))</f>
        <v>OK</v>
      </c>
      <c r="M20" s="8" t="str">
        <f aca="false">IF(A20="","",TEXT(A20,"yyyy-mm"))</f>
        <v>2026-03</v>
      </c>
    </row>
    <row r="21" customFormat="false" ht="15" hidden="false" customHeight="false" outlineLevel="0" collapsed="false">
      <c r="A21" s="6" t="s">
        <v>60</v>
      </c>
      <c r="B21" s="4" t="s">
        <v>7</v>
      </c>
      <c r="C21" s="5" t="s">
        <v>34</v>
      </c>
      <c r="D21" s="5" t="s">
        <v>43</v>
      </c>
      <c r="E21" s="4" t="n">
        <v>40310</v>
      </c>
      <c r="F21" s="4" t="n">
        <v>40332</v>
      </c>
      <c r="G21" s="4" t="n">
        <f aca="false">IF(AND(E21&lt;&gt;"",F21&lt;&gt;""),F21-E21,"")</f>
        <v>22</v>
      </c>
      <c r="H21" s="4" t="n">
        <v>3.3</v>
      </c>
      <c r="I21" s="7" t="n">
        <f aca="false">IFERROR(IF(OR(G21="",G21=0),"",(H21/G21)*100),"")</f>
        <v>15</v>
      </c>
      <c r="J21" s="7" t="n">
        <f aca="false">IFERROR(VLOOKUP(B21,Véhicules!$A$5:$D$14,4,FALSE()),"")</f>
        <v>14.5</v>
      </c>
      <c r="K21" s="13" t="n">
        <f aca="false">IFERROR(IF(OR(I21="",J21="",J21=0),"",(I21-J21)/J21),"")</f>
        <v>0.0344827586206897</v>
      </c>
      <c r="L21" s="4" t="str">
        <f aca="false">IF(K21="","",IF(ABS(K21)&gt;0.15,"ANOMALIE","OK"))</f>
        <v>OK</v>
      </c>
      <c r="M21" s="4" t="str">
        <f aca="false">IF(A21="","",TEXT(A21,"yyyy-mm"))</f>
        <v>2026-03</v>
      </c>
    </row>
    <row r="22" customFormat="false" ht="15" hidden="false" customHeight="false" outlineLevel="0" collapsed="false">
      <c r="A22" s="10" t="s">
        <v>61</v>
      </c>
      <c r="B22" s="8" t="s">
        <v>14</v>
      </c>
      <c r="C22" s="9" t="s">
        <v>40</v>
      </c>
      <c r="D22" s="9" t="s">
        <v>62</v>
      </c>
      <c r="E22" s="8" t="n">
        <v>61660</v>
      </c>
      <c r="F22" s="8" t="n">
        <v>61710</v>
      </c>
      <c r="G22" s="8" t="n">
        <f aca="false">IF(AND(E22&lt;&gt;"",F22&lt;&gt;""),F22-E22,"")</f>
        <v>50</v>
      </c>
      <c r="H22" s="8" t="n">
        <v>9.1</v>
      </c>
      <c r="I22" s="11" t="n">
        <f aca="false">IFERROR(IF(OR(G22="",G22=0),"",(H22/G22)*100),"")</f>
        <v>18.2</v>
      </c>
      <c r="J22" s="11" t="n">
        <f aca="false">IFERROR(VLOOKUP(B22,Véhicules!$A$5:$D$14,4,FALSE()),"")</f>
        <v>15</v>
      </c>
      <c r="K22" s="14" t="n">
        <f aca="false">IFERROR(IF(OR(I22="",J22="",J22=0),"",(I22-J22)/J22),"")</f>
        <v>0.213333333333333</v>
      </c>
      <c r="L22" s="8" t="str">
        <f aca="false">IF(K22="","",IF(ABS(K22)&gt;0.15,"ANOMALIE","OK"))</f>
        <v>ANOMALIE</v>
      </c>
      <c r="M22" s="8" t="str">
        <f aca="false">IF(A22="","",TEXT(A22,"yyyy-mm"))</f>
        <v>2026-03</v>
      </c>
    </row>
    <row r="23" customFormat="false" ht="15" hidden="false" customHeight="false" outlineLevel="0" collapsed="false">
      <c r="A23" s="4"/>
      <c r="B23" s="4"/>
      <c r="C23" s="5"/>
      <c r="D23" s="5"/>
      <c r="E23" s="4"/>
      <c r="F23" s="4"/>
      <c r="G23" s="4" t="str">
        <f aca="false">IF(AND(E23&lt;&gt;"",F23&lt;&gt;""),F23-E23,"")</f>
        <v/>
      </c>
      <c r="H23" s="4"/>
      <c r="I23" s="7" t="str">
        <f aca="false">IFERROR(IF(OR(G23="",G23=0),"",(H23/G23)*100),"")</f>
        <v/>
      </c>
      <c r="J23" s="7" t="str">
        <f aca="false">IFERROR(VLOOKUP(B23,Véhicules!$A$5:$D$14,4,FALSE()),"")</f>
        <v/>
      </c>
      <c r="K23" s="13" t="str">
        <f aca="false">IFERROR(IF(OR(I23="",J23="",J23=0),"",(I23-J23)/J23),"")</f>
        <v/>
      </c>
      <c r="L23" s="4" t="str">
        <f aca="false">IF(K23="","",IF(ABS(K23)&gt;0.15,"ANOMALIE","OK"))</f>
        <v/>
      </c>
      <c r="M23" s="4" t="str">
        <f aca="false">IF(A23="","",TEXT(A23,"yyyy-mm"))</f>
        <v/>
      </c>
    </row>
    <row r="24" customFormat="false" ht="15" hidden="false" customHeight="false" outlineLevel="0" collapsed="false">
      <c r="A24" s="8"/>
      <c r="B24" s="8"/>
      <c r="C24" s="9"/>
      <c r="D24" s="9"/>
      <c r="E24" s="8"/>
      <c r="F24" s="8"/>
      <c r="G24" s="8" t="str">
        <f aca="false">IF(AND(E24&lt;&gt;"",F24&lt;&gt;""),F24-E24,"")</f>
        <v/>
      </c>
      <c r="H24" s="8"/>
      <c r="I24" s="11" t="str">
        <f aca="false">IFERROR(IF(OR(G24="",G24=0),"",(H24/G24)*100),"")</f>
        <v/>
      </c>
      <c r="J24" s="11" t="str">
        <f aca="false">IFERROR(VLOOKUP(B24,Véhicules!$A$5:$D$14,4,FALSE()),"")</f>
        <v/>
      </c>
      <c r="K24" s="14" t="str">
        <f aca="false">IFERROR(IF(OR(I24="",J24="",J24=0),"",(I24-J24)/J24),"")</f>
        <v/>
      </c>
      <c r="L24" s="8" t="str">
        <f aca="false">IF(K24="","",IF(ABS(K24)&gt;0.15,"ANOMALIE","OK"))</f>
        <v/>
      </c>
      <c r="M24" s="8" t="str">
        <f aca="false">IF(A24="","",TEXT(A24,"yyyy-mm"))</f>
        <v/>
      </c>
    </row>
    <row r="25" customFormat="false" ht="15" hidden="false" customHeight="false" outlineLevel="0" collapsed="false">
      <c r="A25" s="4"/>
      <c r="B25" s="4"/>
      <c r="C25" s="5"/>
      <c r="D25" s="5"/>
      <c r="E25" s="4"/>
      <c r="F25" s="4"/>
      <c r="G25" s="4" t="str">
        <f aca="false">IF(AND(E25&lt;&gt;"",F25&lt;&gt;""),F25-E25,"")</f>
        <v/>
      </c>
      <c r="H25" s="4"/>
      <c r="I25" s="7" t="str">
        <f aca="false">IFERROR(IF(OR(G25="",G25=0),"",(H25/G25)*100),"")</f>
        <v/>
      </c>
      <c r="J25" s="7" t="str">
        <f aca="false">IFERROR(VLOOKUP(B25,Véhicules!$A$5:$D$14,4,FALSE()),"")</f>
        <v/>
      </c>
      <c r="K25" s="13" t="str">
        <f aca="false">IFERROR(IF(OR(I25="",J25="",J25=0),"",(I25-J25)/J25),"")</f>
        <v/>
      </c>
      <c r="L25" s="4" t="str">
        <f aca="false">IF(K25="","",IF(ABS(K25)&gt;0.15,"ANOMALIE","OK"))</f>
        <v/>
      </c>
      <c r="M25" s="4" t="str">
        <f aca="false">IF(A25="","",TEXT(A25,"yyyy-mm"))</f>
        <v/>
      </c>
    </row>
    <row r="26" customFormat="false" ht="15" hidden="false" customHeight="false" outlineLevel="0" collapsed="false">
      <c r="A26" s="8"/>
      <c r="B26" s="8"/>
      <c r="C26" s="9"/>
      <c r="D26" s="9"/>
      <c r="E26" s="8"/>
      <c r="F26" s="8"/>
      <c r="G26" s="8" t="str">
        <f aca="false">IF(AND(E26&lt;&gt;"",F26&lt;&gt;""),F26-E26,"")</f>
        <v/>
      </c>
      <c r="H26" s="8"/>
      <c r="I26" s="11" t="str">
        <f aca="false">IFERROR(IF(OR(G26="",G26=0),"",(H26/G26)*100),"")</f>
        <v/>
      </c>
      <c r="J26" s="11" t="str">
        <f aca="false">IFERROR(VLOOKUP(B26,Véhicules!$A$5:$D$14,4,FALSE()),"")</f>
        <v/>
      </c>
      <c r="K26" s="14" t="str">
        <f aca="false">IFERROR(IF(OR(I26="",J26="",J26=0),"",(I26-J26)/J26),"")</f>
        <v/>
      </c>
      <c r="L26" s="8" t="str">
        <f aca="false">IF(K26="","",IF(ABS(K26)&gt;0.15,"ANOMALIE","OK"))</f>
        <v/>
      </c>
      <c r="M26" s="8" t="str">
        <f aca="false">IF(A26="","",TEXT(A26,"yyyy-mm"))</f>
        <v/>
      </c>
    </row>
    <row r="27" customFormat="false" ht="15" hidden="false" customHeight="false" outlineLevel="0" collapsed="false">
      <c r="A27" s="4"/>
      <c r="B27" s="4"/>
      <c r="C27" s="5"/>
      <c r="D27" s="5"/>
      <c r="E27" s="4"/>
      <c r="F27" s="4"/>
      <c r="G27" s="4" t="str">
        <f aca="false">IF(AND(E27&lt;&gt;"",F27&lt;&gt;""),F27-E27,"")</f>
        <v/>
      </c>
      <c r="H27" s="4"/>
      <c r="I27" s="7" t="str">
        <f aca="false">IFERROR(IF(OR(G27="",G27=0),"",(H27/G27)*100),"")</f>
        <v/>
      </c>
      <c r="J27" s="7" t="str">
        <f aca="false">IFERROR(VLOOKUP(B27,Véhicules!$A$5:$D$14,4,FALSE()),"")</f>
        <v/>
      </c>
      <c r="K27" s="13" t="str">
        <f aca="false">IFERROR(IF(OR(I27="",J27="",J27=0),"",(I27-J27)/J27),"")</f>
        <v/>
      </c>
      <c r="L27" s="4" t="str">
        <f aca="false">IF(K27="","",IF(ABS(K27)&gt;0.15,"ANOMALIE","OK"))</f>
        <v/>
      </c>
      <c r="M27" s="4" t="str">
        <f aca="false">IF(A27="","",TEXT(A27,"yyyy-mm"))</f>
        <v/>
      </c>
    </row>
    <row r="28" customFormat="false" ht="15" hidden="false" customHeight="false" outlineLevel="0" collapsed="false">
      <c r="A28" s="8"/>
      <c r="B28" s="8"/>
      <c r="C28" s="9"/>
      <c r="D28" s="9"/>
      <c r="E28" s="8"/>
      <c r="F28" s="8"/>
      <c r="G28" s="8" t="str">
        <f aca="false">IF(AND(E28&lt;&gt;"",F28&lt;&gt;""),F28-E28,"")</f>
        <v/>
      </c>
      <c r="H28" s="8"/>
      <c r="I28" s="11" t="str">
        <f aca="false">IFERROR(IF(OR(G28="",G28=0),"",(H28/G28)*100),"")</f>
        <v/>
      </c>
      <c r="J28" s="11" t="str">
        <f aca="false">IFERROR(VLOOKUP(B28,Véhicules!$A$5:$D$14,4,FALSE()),"")</f>
        <v/>
      </c>
      <c r="K28" s="14" t="str">
        <f aca="false">IFERROR(IF(OR(I28="",J28="",J28=0),"",(I28-J28)/J28),"")</f>
        <v/>
      </c>
      <c r="L28" s="8" t="str">
        <f aca="false">IF(K28="","",IF(ABS(K28)&gt;0.15,"ANOMALIE","OK"))</f>
        <v/>
      </c>
      <c r="M28" s="8" t="str">
        <f aca="false">IF(A28="","",TEXT(A28,"yyyy-mm"))</f>
        <v/>
      </c>
    </row>
    <row r="29" customFormat="false" ht="15" hidden="false" customHeight="false" outlineLevel="0" collapsed="false">
      <c r="A29" s="4"/>
      <c r="B29" s="4"/>
      <c r="C29" s="5"/>
      <c r="D29" s="5"/>
      <c r="E29" s="4"/>
      <c r="F29" s="4"/>
      <c r="G29" s="4" t="str">
        <f aca="false">IF(AND(E29&lt;&gt;"",F29&lt;&gt;""),F29-E29,"")</f>
        <v/>
      </c>
      <c r="H29" s="4"/>
      <c r="I29" s="7" t="str">
        <f aca="false">IFERROR(IF(OR(G29="",G29=0),"",(H29/G29)*100),"")</f>
        <v/>
      </c>
      <c r="J29" s="7" t="str">
        <f aca="false">IFERROR(VLOOKUP(B29,Véhicules!$A$5:$D$14,4,FALSE()),"")</f>
        <v/>
      </c>
      <c r="K29" s="13" t="str">
        <f aca="false">IFERROR(IF(OR(I29="",J29="",J29=0),"",(I29-J29)/J29),"")</f>
        <v/>
      </c>
      <c r="L29" s="4" t="str">
        <f aca="false">IF(K29="","",IF(ABS(K29)&gt;0.15,"ANOMALIE","OK"))</f>
        <v/>
      </c>
      <c r="M29" s="4" t="str">
        <f aca="false">IF(A29="","",TEXT(A29,"yyyy-mm"))</f>
        <v/>
      </c>
    </row>
    <row r="30" customFormat="false" ht="15" hidden="false" customHeight="false" outlineLevel="0" collapsed="false">
      <c r="A30" s="8"/>
      <c r="B30" s="8"/>
      <c r="C30" s="9"/>
      <c r="D30" s="9"/>
      <c r="E30" s="8"/>
      <c r="F30" s="8"/>
      <c r="G30" s="8" t="str">
        <f aca="false">IF(AND(E30&lt;&gt;"",F30&lt;&gt;""),F30-E30,"")</f>
        <v/>
      </c>
      <c r="H30" s="8"/>
      <c r="I30" s="11" t="str">
        <f aca="false">IFERROR(IF(OR(G30="",G30=0),"",(H30/G30)*100),"")</f>
        <v/>
      </c>
      <c r="J30" s="11" t="str">
        <f aca="false">IFERROR(VLOOKUP(B30,Véhicules!$A$5:$D$14,4,FALSE()),"")</f>
        <v/>
      </c>
      <c r="K30" s="14" t="str">
        <f aca="false">IFERROR(IF(OR(I30="",J30="",J30=0),"",(I30-J30)/J30),"")</f>
        <v/>
      </c>
      <c r="L30" s="8" t="str">
        <f aca="false">IF(K30="","",IF(ABS(K30)&gt;0.15,"ANOMALIE","OK"))</f>
        <v/>
      </c>
      <c r="M30" s="8" t="str">
        <f aca="false">IF(A30="","",TEXT(A30,"yyyy-mm"))</f>
        <v/>
      </c>
    </row>
    <row r="31" customFormat="false" ht="15" hidden="false" customHeight="false" outlineLevel="0" collapsed="false">
      <c r="A31" s="4"/>
      <c r="B31" s="4"/>
      <c r="C31" s="5"/>
      <c r="D31" s="5"/>
      <c r="E31" s="4"/>
      <c r="F31" s="4"/>
      <c r="G31" s="4" t="str">
        <f aca="false">IF(AND(E31&lt;&gt;"",F31&lt;&gt;""),F31-E31,"")</f>
        <v/>
      </c>
      <c r="H31" s="4"/>
      <c r="I31" s="7" t="str">
        <f aca="false">IFERROR(IF(OR(G31="",G31=0),"",(H31/G31)*100),"")</f>
        <v/>
      </c>
      <c r="J31" s="7" t="str">
        <f aca="false">IFERROR(VLOOKUP(B31,Véhicules!$A$5:$D$14,4,FALSE()),"")</f>
        <v/>
      </c>
      <c r="K31" s="13" t="str">
        <f aca="false">IFERROR(IF(OR(I31="",J31="",J31=0),"",(I31-J31)/J31),"")</f>
        <v/>
      </c>
      <c r="L31" s="4" t="str">
        <f aca="false">IF(K31="","",IF(ABS(K31)&gt;0.15,"ANOMALIE","OK"))</f>
        <v/>
      </c>
      <c r="M31" s="4" t="str">
        <f aca="false">IF(A31="","",TEXT(A31,"yyyy-mm"))</f>
        <v/>
      </c>
    </row>
    <row r="32" customFormat="false" ht="15" hidden="false" customHeight="false" outlineLevel="0" collapsed="false">
      <c r="A32" s="8"/>
      <c r="B32" s="8"/>
      <c r="C32" s="9"/>
      <c r="D32" s="9"/>
      <c r="E32" s="8"/>
      <c r="F32" s="8"/>
      <c r="G32" s="8" t="str">
        <f aca="false">IF(AND(E32&lt;&gt;"",F32&lt;&gt;""),F32-E32,"")</f>
        <v/>
      </c>
      <c r="H32" s="8"/>
      <c r="I32" s="11" t="str">
        <f aca="false">IFERROR(IF(OR(G32="",G32=0),"",(H32/G32)*100),"")</f>
        <v/>
      </c>
      <c r="J32" s="11" t="str">
        <f aca="false">IFERROR(VLOOKUP(B32,Véhicules!$A$5:$D$14,4,FALSE()),"")</f>
        <v/>
      </c>
      <c r="K32" s="14" t="str">
        <f aca="false">IFERROR(IF(OR(I32="",J32="",J32=0),"",(I32-J32)/J32),"")</f>
        <v/>
      </c>
      <c r="L32" s="8" t="str">
        <f aca="false">IF(K32="","",IF(ABS(K32)&gt;0.15,"ANOMALIE","OK"))</f>
        <v/>
      </c>
      <c r="M32" s="8" t="str">
        <f aca="false">IF(A32="","",TEXT(A32,"yyyy-mm"))</f>
        <v/>
      </c>
    </row>
    <row r="33" customFormat="false" ht="15" hidden="false" customHeight="false" outlineLevel="0" collapsed="false">
      <c r="A33" s="4"/>
      <c r="B33" s="4"/>
      <c r="C33" s="5"/>
      <c r="D33" s="5"/>
      <c r="E33" s="4"/>
      <c r="F33" s="4"/>
      <c r="G33" s="4" t="str">
        <f aca="false">IF(AND(E33&lt;&gt;"",F33&lt;&gt;""),F33-E33,"")</f>
        <v/>
      </c>
      <c r="H33" s="4"/>
      <c r="I33" s="7" t="str">
        <f aca="false">IFERROR(IF(OR(G33="",G33=0),"",(H33/G33)*100),"")</f>
        <v/>
      </c>
      <c r="J33" s="7" t="str">
        <f aca="false">IFERROR(VLOOKUP(B33,Véhicules!$A$5:$D$14,4,FALSE()),"")</f>
        <v/>
      </c>
      <c r="K33" s="13" t="str">
        <f aca="false">IFERROR(IF(OR(I33="",J33="",J33=0),"",(I33-J33)/J33),"")</f>
        <v/>
      </c>
      <c r="L33" s="4" t="str">
        <f aca="false">IF(K33="","",IF(ABS(K33)&gt;0.15,"ANOMALIE","OK"))</f>
        <v/>
      </c>
      <c r="M33" s="4" t="str">
        <f aca="false">IF(A33="","",TEXT(A33,"yyyy-mm"))</f>
        <v/>
      </c>
    </row>
    <row r="34" customFormat="false" ht="15" hidden="false" customHeight="false" outlineLevel="0" collapsed="false">
      <c r="A34" s="8"/>
      <c r="B34" s="8"/>
      <c r="C34" s="9"/>
      <c r="D34" s="9"/>
      <c r="E34" s="8"/>
      <c r="F34" s="8"/>
      <c r="G34" s="8" t="str">
        <f aca="false">IF(AND(E34&lt;&gt;"",F34&lt;&gt;""),F34-E34,"")</f>
        <v/>
      </c>
      <c r="H34" s="8"/>
      <c r="I34" s="11" t="str">
        <f aca="false">IFERROR(IF(OR(G34="",G34=0),"",(H34/G34)*100),"")</f>
        <v/>
      </c>
      <c r="J34" s="11" t="str">
        <f aca="false">IFERROR(VLOOKUP(B34,Véhicules!$A$5:$D$14,4,FALSE()),"")</f>
        <v/>
      </c>
      <c r="K34" s="14" t="str">
        <f aca="false">IFERROR(IF(OR(I34="",J34="",J34=0),"",(I34-J34)/J34),"")</f>
        <v/>
      </c>
      <c r="L34" s="8" t="str">
        <f aca="false">IF(K34="","",IF(ABS(K34)&gt;0.15,"ANOMALIE","OK"))</f>
        <v/>
      </c>
      <c r="M34" s="8" t="str">
        <f aca="false">IF(A34="","",TEXT(A34,"yyyy-mm"))</f>
        <v/>
      </c>
    </row>
    <row r="35" customFormat="false" ht="15" hidden="false" customHeight="false" outlineLevel="0" collapsed="false">
      <c r="A35" s="4"/>
      <c r="B35" s="4"/>
      <c r="C35" s="5"/>
      <c r="D35" s="5"/>
      <c r="E35" s="4"/>
      <c r="F35" s="4"/>
      <c r="G35" s="4" t="str">
        <f aca="false">IF(AND(E35&lt;&gt;"",F35&lt;&gt;""),F35-E35,"")</f>
        <v/>
      </c>
      <c r="H35" s="4"/>
      <c r="I35" s="7" t="str">
        <f aca="false">IFERROR(IF(OR(G35="",G35=0),"",(H35/G35)*100),"")</f>
        <v/>
      </c>
      <c r="J35" s="7" t="str">
        <f aca="false">IFERROR(VLOOKUP(B35,Véhicules!$A$5:$D$14,4,FALSE()),"")</f>
        <v/>
      </c>
      <c r="K35" s="13" t="str">
        <f aca="false">IFERROR(IF(OR(I35="",J35="",J35=0),"",(I35-J35)/J35),"")</f>
        <v/>
      </c>
      <c r="L35" s="4" t="str">
        <f aca="false">IF(K35="","",IF(ABS(K35)&gt;0.15,"ANOMALIE","OK"))</f>
        <v/>
      </c>
      <c r="M35" s="4" t="str">
        <f aca="false">IF(A35="","",TEXT(A35,"yyyy-mm"))</f>
        <v/>
      </c>
    </row>
    <row r="36" customFormat="false" ht="15" hidden="false" customHeight="false" outlineLevel="0" collapsed="false">
      <c r="A36" s="8"/>
      <c r="B36" s="8"/>
      <c r="C36" s="9"/>
      <c r="D36" s="9"/>
      <c r="E36" s="8"/>
      <c r="F36" s="8"/>
      <c r="G36" s="8" t="str">
        <f aca="false">IF(AND(E36&lt;&gt;"",F36&lt;&gt;""),F36-E36,"")</f>
        <v/>
      </c>
      <c r="H36" s="8"/>
      <c r="I36" s="11" t="str">
        <f aca="false">IFERROR(IF(OR(G36="",G36=0),"",(H36/G36)*100),"")</f>
        <v/>
      </c>
      <c r="J36" s="11" t="str">
        <f aca="false">IFERROR(VLOOKUP(B36,Véhicules!$A$5:$D$14,4,FALSE()),"")</f>
        <v/>
      </c>
      <c r="K36" s="14" t="str">
        <f aca="false">IFERROR(IF(OR(I36="",J36="",J36=0),"",(I36-J36)/J36),"")</f>
        <v/>
      </c>
      <c r="L36" s="8" t="str">
        <f aca="false">IF(K36="","",IF(ABS(K36)&gt;0.15,"ANOMALIE","OK"))</f>
        <v/>
      </c>
      <c r="M36" s="8" t="str">
        <f aca="false">IF(A36="","",TEXT(A36,"yyyy-mm"))</f>
        <v/>
      </c>
    </row>
    <row r="37" customFormat="false" ht="15" hidden="false" customHeight="false" outlineLevel="0" collapsed="false">
      <c r="A37" s="4"/>
      <c r="B37" s="4"/>
      <c r="C37" s="5"/>
      <c r="D37" s="5"/>
      <c r="E37" s="4"/>
      <c r="F37" s="4"/>
      <c r="G37" s="4" t="str">
        <f aca="false">IF(AND(E37&lt;&gt;"",F37&lt;&gt;""),F37-E37,"")</f>
        <v/>
      </c>
      <c r="H37" s="4"/>
      <c r="I37" s="7" t="str">
        <f aca="false">IFERROR(IF(OR(G37="",G37=0),"",(H37/G37)*100),"")</f>
        <v/>
      </c>
      <c r="J37" s="7" t="str">
        <f aca="false">IFERROR(VLOOKUP(B37,Véhicules!$A$5:$D$14,4,FALSE()),"")</f>
        <v/>
      </c>
      <c r="K37" s="13" t="str">
        <f aca="false">IFERROR(IF(OR(I37="",J37="",J37=0),"",(I37-J37)/J37),"")</f>
        <v/>
      </c>
      <c r="L37" s="4" t="str">
        <f aca="false">IF(K37="","",IF(ABS(K37)&gt;0.15,"ANOMALIE","OK"))</f>
        <v/>
      </c>
      <c r="M37" s="4" t="str">
        <f aca="false">IF(A37="","",TEXT(A37,"yyyy-mm"))</f>
        <v/>
      </c>
    </row>
    <row r="38" customFormat="false" ht="15" hidden="false" customHeight="false" outlineLevel="0" collapsed="false">
      <c r="A38" s="8"/>
      <c r="B38" s="8"/>
      <c r="C38" s="9"/>
      <c r="D38" s="9"/>
      <c r="E38" s="8"/>
      <c r="F38" s="8"/>
      <c r="G38" s="8" t="str">
        <f aca="false">IF(AND(E38&lt;&gt;"",F38&lt;&gt;""),F38-E38,"")</f>
        <v/>
      </c>
      <c r="H38" s="8"/>
      <c r="I38" s="11" t="str">
        <f aca="false">IFERROR(IF(OR(G38="",G38=0),"",(H38/G38)*100),"")</f>
        <v/>
      </c>
      <c r="J38" s="11" t="str">
        <f aca="false">IFERROR(VLOOKUP(B38,Véhicules!$A$5:$D$14,4,FALSE()),"")</f>
        <v/>
      </c>
      <c r="K38" s="14" t="str">
        <f aca="false">IFERROR(IF(OR(I38="",J38="",J38=0),"",(I38-J38)/J38),"")</f>
        <v/>
      </c>
      <c r="L38" s="8" t="str">
        <f aca="false">IF(K38="","",IF(ABS(K38)&gt;0.15,"ANOMALIE","OK"))</f>
        <v/>
      </c>
      <c r="M38" s="8" t="str">
        <f aca="false">IF(A38="","",TEXT(A38,"yyyy-mm"))</f>
        <v/>
      </c>
    </row>
    <row r="39" customFormat="false" ht="15" hidden="false" customHeight="false" outlineLevel="0" collapsed="false">
      <c r="A39" s="4"/>
      <c r="B39" s="4"/>
      <c r="C39" s="5"/>
      <c r="D39" s="5"/>
      <c r="E39" s="4"/>
      <c r="F39" s="4"/>
      <c r="G39" s="4" t="str">
        <f aca="false">IF(AND(E39&lt;&gt;"",F39&lt;&gt;""),F39-E39,"")</f>
        <v/>
      </c>
      <c r="H39" s="4"/>
      <c r="I39" s="7" t="str">
        <f aca="false">IFERROR(IF(OR(G39="",G39=0),"",(H39/G39)*100),"")</f>
        <v/>
      </c>
      <c r="J39" s="7" t="str">
        <f aca="false">IFERROR(VLOOKUP(B39,Véhicules!$A$5:$D$14,4,FALSE()),"")</f>
        <v/>
      </c>
      <c r="K39" s="13" t="str">
        <f aca="false">IFERROR(IF(OR(I39="",J39="",J39=0),"",(I39-J39)/J39),"")</f>
        <v/>
      </c>
      <c r="L39" s="4" t="str">
        <f aca="false">IF(K39="","",IF(ABS(K39)&gt;0.15,"ANOMALIE","OK"))</f>
        <v/>
      </c>
      <c r="M39" s="4" t="str">
        <f aca="false">IF(A39="","",TEXT(A39,"yyyy-mm"))</f>
        <v/>
      </c>
    </row>
    <row r="40" customFormat="false" ht="15" hidden="false" customHeight="false" outlineLevel="0" collapsed="false">
      <c r="A40" s="8"/>
      <c r="B40" s="8"/>
      <c r="C40" s="9"/>
      <c r="D40" s="9"/>
      <c r="E40" s="8"/>
      <c r="F40" s="8"/>
      <c r="G40" s="8" t="str">
        <f aca="false">IF(AND(E40&lt;&gt;"",F40&lt;&gt;""),F40-E40,"")</f>
        <v/>
      </c>
      <c r="H40" s="8"/>
      <c r="I40" s="11" t="str">
        <f aca="false">IFERROR(IF(OR(G40="",G40=0),"",(H40/G40)*100),"")</f>
        <v/>
      </c>
      <c r="J40" s="11" t="str">
        <f aca="false">IFERROR(VLOOKUP(B40,Véhicules!$A$5:$D$14,4,FALSE()),"")</f>
        <v/>
      </c>
      <c r="K40" s="14" t="str">
        <f aca="false">IFERROR(IF(OR(I40="",J40="",J40=0),"",(I40-J40)/J40),"")</f>
        <v/>
      </c>
      <c r="L40" s="8" t="str">
        <f aca="false">IF(K40="","",IF(ABS(K40)&gt;0.15,"ANOMALIE","OK"))</f>
        <v/>
      </c>
      <c r="M40" s="8" t="str">
        <f aca="false">IF(A40="","",TEXT(A40,"yyyy-mm"))</f>
        <v/>
      </c>
    </row>
    <row r="42" customFormat="false" ht="15" hidden="false" customHeight="false" outlineLevel="0" collapsed="false">
      <c r="A42" s="12" t="s">
        <v>63</v>
      </c>
      <c r="B42" s="12"/>
      <c r="C42" s="12"/>
      <c r="D42" s="12"/>
      <c r="E42" s="12"/>
      <c r="F42" s="12"/>
      <c r="G42" s="12"/>
      <c r="H42" s="12"/>
      <c r="I42" s="12"/>
      <c r="J42" s="12"/>
      <c r="K42" s="12"/>
      <c r="L42" s="12"/>
      <c r="M42" s="12"/>
    </row>
  </sheetData>
  <mergeCells count="3">
    <mergeCell ref="A1:M1"/>
    <mergeCell ref="A2:M2"/>
    <mergeCell ref="A42:M42"/>
  </mergeCells>
  <conditionalFormatting sqref="L5:L40">
    <cfRule type="cellIs" priority="2" operator="equal" aboveAverage="0" equalAverage="0" bottom="0" percent="0" rank="0" text="" dxfId="0">
      <formula>"ANOMALIE"</formula>
    </cfRule>
    <cfRule type="cellIs" priority="3" operator="equal" aboveAverage="0" equalAverage="0" bottom="0" percent="0" rank="0" text="" dxfId="1">
      <formula>"OK"</formula>
    </cfRule>
  </conditionalFormatting>
  <dataValidations count="1">
    <dataValidation allowBlank="true" errorStyle="stop" operator="between" showDropDown="false" showErrorMessage="false" showInputMessage="false" sqref="B5:B40" type="list">
      <formula1>Véhicules!$A$5:$A$14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8"/>
    <col collapsed="false" customWidth="true" hidden="false" outlineLevel="0" max="5" min="4" style="0" width="14"/>
    <col collapsed="false" customWidth="true" hidden="false" outlineLevel="0" max="6" min="6" style="0" width="10"/>
  </cols>
  <sheetData>
    <row r="1" customFormat="false" ht="27.75" hidden="false" customHeight="true" outlineLevel="0" collapsed="false">
      <c r="A1" s="1" t="s">
        <v>64</v>
      </c>
      <c r="B1" s="1"/>
      <c r="C1" s="1"/>
      <c r="D1" s="1"/>
      <c r="E1" s="1"/>
    </row>
    <row r="2" customFormat="false" ht="15" hidden="false" customHeight="true" outlineLevel="0" collapsed="false">
      <c r="A2" s="2" t="s">
        <v>1</v>
      </c>
      <c r="B2" s="2"/>
      <c r="C2" s="2"/>
      <c r="D2" s="2"/>
      <c r="E2" s="2"/>
    </row>
    <row r="4" customFormat="false" ht="30" hidden="false" customHeight="true" outlineLevel="0" collapsed="false">
      <c r="A4" s="3" t="s">
        <v>22</v>
      </c>
      <c r="B4" s="3" t="s">
        <v>2</v>
      </c>
      <c r="C4" s="3" t="s">
        <v>65</v>
      </c>
      <c r="D4" s="3" t="s">
        <v>66</v>
      </c>
      <c r="E4" s="3" t="s">
        <v>67</v>
      </c>
      <c r="F4" s="15" t="s">
        <v>32</v>
      </c>
    </row>
    <row r="5" customFormat="false" ht="15" hidden="false" customHeight="false" outlineLevel="0" collapsed="false">
      <c r="A5" s="6" t="s">
        <v>50</v>
      </c>
      <c r="B5" s="4" t="s">
        <v>7</v>
      </c>
      <c r="C5" s="5" t="s">
        <v>68</v>
      </c>
      <c r="D5" s="16" t="n">
        <v>40250</v>
      </c>
      <c r="E5" s="17" t="n">
        <v>85</v>
      </c>
      <c r="F5" s="4" t="str">
        <f aca="false">IF(A5="","",TEXT(A5,"yyyy-mm"))</f>
        <v>2026-03</v>
      </c>
    </row>
    <row r="6" customFormat="false" ht="15" hidden="false" customHeight="false" outlineLevel="0" collapsed="false">
      <c r="A6" s="10" t="s">
        <v>69</v>
      </c>
      <c r="B6" s="8" t="s">
        <v>14</v>
      </c>
      <c r="C6" s="9" t="s">
        <v>70</v>
      </c>
      <c r="D6" s="18" t="n">
        <v>61460</v>
      </c>
      <c r="E6" s="19" t="n">
        <v>140</v>
      </c>
      <c r="F6" s="8" t="str">
        <f aca="false">IF(A6="","",TEXT(A6,"yyyy-mm"))</f>
        <v>2026-03</v>
      </c>
    </row>
    <row r="7" customFormat="false" ht="15" hidden="false" customHeight="false" outlineLevel="0" collapsed="false">
      <c r="A7" s="6" t="s">
        <v>71</v>
      </c>
      <c r="B7" s="4" t="s">
        <v>11</v>
      </c>
      <c r="C7" s="5" t="s">
        <v>72</v>
      </c>
      <c r="D7" s="16" t="n">
        <v>15340</v>
      </c>
      <c r="E7" s="17" t="n">
        <v>220</v>
      </c>
      <c r="F7" s="4" t="str">
        <f aca="false">IF(A7="","",TEXT(A7,"yyyy-mm"))</f>
        <v>2026-03</v>
      </c>
    </row>
    <row r="8" customFormat="false" ht="15" hidden="false" customHeight="false" outlineLevel="0" collapsed="false">
      <c r="A8" s="10" t="s">
        <v>53</v>
      </c>
      <c r="B8" s="8" t="s">
        <v>17</v>
      </c>
      <c r="C8" s="9" t="s">
        <v>68</v>
      </c>
      <c r="D8" s="18" t="n">
        <v>22170</v>
      </c>
      <c r="E8" s="19" t="n">
        <v>80</v>
      </c>
      <c r="F8" s="8" t="str">
        <f aca="false">IF(A8="","",TEXT(A8,"yyyy-mm"))</f>
        <v>2026-03</v>
      </c>
    </row>
    <row r="9" customFormat="false" ht="15" hidden="false" customHeight="false" outlineLevel="0" collapsed="false">
      <c r="A9" s="6" t="s">
        <v>57</v>
      </c>
      <c r="B9" s="4" t="s">
        <v>14</v>
      </c>
      <c r="C9" s="5" t="s">
        <v>73</v>
      </c>
      <c r="D9" s="16" t="n">
        <v>61610</v>
      </c>
      <c r="E9" s="17" t="n">
        <v>310</v>
      </c>
      <c r="F9" s="4" t="str">
        <f aca="false">IF(A9="","",TEXT(A9,"yyyy-mm"))</f>
        <v>2026-03</v>
      </c>
    </row>
    <row r="10" customFormat="false" ht="15" hidden="false" customHeight="false" outlineLevel="0" collapsed="false">
      <c r="A10" s="8"/>
      <c r="B10" s="8"/>
      <c r="C10" s="9"/>
      <c r="D10" s="18"/>
      <c r="E10" s="19"/>
      <c r="F10" s="8" t="str">
        <f aca="false">IF(A10="","",TEXT(A10,"yyyy-mm"))</f>
        <v/>
      </c>
    </row>
    <row r="11" customFormat="false" ht="15" hidden="false" customHeight="false" outlineLevel="0" collapsed="false">
      <c r="A11" s="4"/>
      <c r="B11" s="4"/>
      <c r="C11" s="5"/>
      <c r="D11" s="16"/>
      <c r="E11" s="17"/>
      <c r="F11" s="4" t="str">
        <f aca="false">IF(A11="","",TEXT(A11,"yyyy-mm"))</f>
        <v/>
      </c>
    </row>
    <row r="12" customFormat="false" ht="15" hidden="false" customHeight="false" outlineLevel="0" collapsed="false">
      <c r="A12" s="8"/>
      <c r="B12" s="8"/>
      <c r="C12" s="9"/>
      <c r="D12" s="18"/>
      <c r="E12" s="19"/>
      <c r="F12" s="8" t="str">
        <f aca="false">IF(A12="","",TEXT(A12,"yyyy-mm"))</f>
        <v/>
      </c>
    </row>
    <row r="13" customFormat="false" ht="15" hidden="false" customHeight="false" outlineLevel="0" collapsed="false">
      <c r="A13" s="4"/>
      <c r="B13" s="4"/>
      <c r="C13" s="5"/>
      <c r="D13" s="16"/>
      <c r="E13" s="17"/>
      <c r="F13" s="4" t="str">
        <f aca="false">IF(A13="","",TEXT(A13,"yyyy-mm"))</f>
        <v/>
      </c>
    </row>
    <row r="14" customFormat="false" ht="15" hidden="false" customHeight="false" outlineLevel="0" collapsed="false">
      <c r="A14" s="8"/>
      <c r="B14" s="8"/>
      <c r="C14" s="9"/>
      <c r="D14" s="18"/>
      <c r="E14" s="19"/>
      <c r="F14" s="8" t="str">
        <f aca="false">IF(A14="","",TEXT(A14,"yyyy-mm"))</f>
        <v/>
      </c>
    </row>
    <row r="15" customFormat="false" ht="15" hidden="false" customHeight="false" outlineLevel="0" collapsed="false">
      <c r="A15" s="4"/>
      <c r="B15" s="4"/>
      <c r="C15" s="5"/>
      <c r="D15" s="16"/>
      <c r="E15" s="17"/>
      <c r="F15" s="4" t="str">
        <f aca="false">IF(A15="","",TEXT(A15,"yyyy-mm"))</f>
        <v/>
      </c>
    </row>
    <row r="16" customFormat="false" ht="15" hidden="false" customHeight="false" outlineLevel="0" collapsed="false">
      <c r="A16" s="8"/>
      <c r="B16" s="8"/>
      <c r="C16" s="9"/>
      <c r="D16" s="18"/>
      <c r="E16" s="19"/>
      <c r="F16" s="8" t="str">
        <f aca="false">IF(A16="","",TEXT(A16,"yyyy-mm"))</f>
        <v/>
      </c>
    </row>
    <row r="17" customFormat="false" ht="15" hidden="false" customHeight="false" outlineLevel="0" collapsed="false">
      <c r="A17" s="4"/>
      <c r="B17" s="4"/>
      <c r="C17" s="5"/>
      <c r="D17" s="16"/>
      <c r="E17" s="17"/>
      <c r="F17" s="4" t="str">
        <f aca="false">IF(A17="","",TEXT(A17,"yyyy-mm"))</f>
        <v/>
      </c>
    </row>
    <row r="18" customFormat="false" ht="15" hidden="false" customHeight="false" outlineLevel="0" collapsed="false">
      <c r="A18" s="8"/>
      <c r="B18" s="8"/>
      <c r="C18" s="9"/>
      <c r="D18" s="18"/>
      <c r="E18" s="19"/>
      <c r="F18" s="8" t="str">
        <f aca="false">IF(A18="","",TEXT(A18,"yyyy-mm"))</f>
        <v/>
      </c>
    </row>
    <row r="19" customFormat="false" ht="15" hidden="false" customHeight="false" outlineLevel="0" collapsed="false">
      <c r="A19" s="4"/>
      <c r="B19" s="4"/>
      <c r="C19" s="5"/>
      <c r="D19" s="16"/>
      <c r="E19" s="17"/>
      <c r="F19" s="4" t="str">
        <f aca="false">IF(A19="","",TEXT(A19,"yyyy-mm"))</f>
        <v/>
      </c>
    </row>
    <row r="20" customFormat="false" ht="15" hidden="false" customHeight="false" outlineLevel="0" collapsed="false">
      <c r="A20" s="8"/>
      <c r="B20" s="8"/>
      <c r="C20" s="9"/>
      <c r="D20" s="18"/>
      <c r="E20" s="19"/>
      <c r="F20" s="8" t="str">
        <f aca="false">IF(A20="","",TEXT(A20,"yyyy-mm"))</f>
        <v/>
      </c>
    </row>
    <row r="22" customFormat="false" ht="15" hidden="false" customHeight="false" outlineLevel="0" collapsed="false">
      <c r="A22" s="12" t="s">
        <v>74</v>
      </c>
      <c r="B22" s="12"/>
      <c r="C22" s="12"/>
      <c r="D22" s="12"/>
      <c r="E22" s="12"/>
    </row>
  </sheetData>
  <mergeCells count="3">
    <mergeCell ref="A1:E1"/>
    <mergeCell ref="A2:E2"/>
    <mergeCell ref="A22:E22"/>
  </mergeCells>
  <dataValidations count="1">
    <dataValidation allowBlank="true" errorStyle="stop" operator="between" showDropDown="false" showErrorMessage="false" showInputMessage="false" sqref="B5:B20" type="list">
      <formula1>Véhicules!$A$5:$A$14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22"/>
    <col collapsed="false" customWidth="true" hidden="false" outlineLevel="0" max="3" min="2" style="0" width="16"/>
    <col collapsed="false" customWidth="true" hidden="false" outlineLevel="0" max="5" min="4" style="0" width="20"/>
    <col collapsed="false" customWidth="true" hidden="false" outlineLevel="0" max="6" min="6" style="0" width="16"/>
    <col collapsed="false" customWidth="true" hidden="false" outlineLevel="0" max="7" min="7" style="0" width="15"/>
  </cols>
  <sheetData>
    <row r="1" customFormat="false" ht="27.75" hidden="false" customHeight="true" outlineLevel="0" collapsed="false">
      <c r="A1" s="1" t="s">
        <v>75</v>
      </c>
      <c r="B1" s="1"/>
      <c r="C1" s="1"/>
      <c r="D1" s="1"/>
      <c r="E1" s="1"/>
      <c r="F1" s="1"/>
      <c r="G1" s="1"/>
    </row>
    <row r="2" customFormat="false" ht="15" hidden="false" customHeight="true" outlineLevel="0" collapsed="false">
      <c r="A2" s="2" t="s">
        <v>76</v>
      </c>
      <c r="B2" s="2"/>
      <c r="C2" s="2"/>
      <c r="D2" s="2"/>
      <c r="E2" s="2"/>
      <c r="F2" s="2"/>
      <c r="G2" s="2"/>
    </row>
    <row r="4" customFormat="false" ht="15" hidden="false" customHeight="false" outlineLevel="0" collapsed="false">
      <c r="A4" s="20" t="s">
        <v>77</v>
      </c>
    </row>
    <row r="5" customFormat="false" ht="15" hidden="false" customHeight="true" outlineLevel="0" collapsed="false">
      <c r="A5" s="21" t="s">
        <v>78</v>
      </c>
      <c r="B5" s="22" t="n">
        <v>1.8</v>
      </c>
      <c r="D5" s="23" t="s">
        <v>79</v>
      </c>
      <c r="E5" s="23"/>
      <c r="F5" s="23"/>
      <c r="G5" s="23"/>
    </row>
    <row r="6" customFormat="false" ht="15" hidden="false" customHeight="false" outlineLevel="0" collapsed="false">
      <c r="A6" s="21" t="s">
        <v>80</v>
      </c>
      <c r="B6" s="24" t="s">
        <v>81</v>
      </c>
      <c r="D6" s="23"/>
      <c r="E6" s="23"/>
      <c r="F6" s="23"/>
      <c r="G6" s="23"/>
    </row>
    <row r="8" customFormat="false" ht="15" hidden="false" customHeight="false" outlineLevel="0" collapsed="false">
      <c r="A8" s="20" t="s">
        <v>82</v>
      </c>
    </row>
    <row r="9" customFormat="false" ht="30" hidden="false" customHeight="true" outlineLevel="0" collapsed="false">
      <c r="A9" s="3" t="s">
        <v>2</v>
      </c>
      <c r="B9" s="3" t="s">
        <v>27</v>
      </c>
      <c r="C9" s="3" t="s">
        <v>83</v>
      </c>
      <c r="D9" s="3" t="s">
        <v>84</v>
      </c>
      <c r="E9" s="3" t="s">
        <v>85</v>
      </c>
      <c r="F9" s="3" t="s">
        <v>86</v>
      </c>
      <c r="G9" s="3" t="s">
        <v>87</v>
      </c>
    </row>
    <row r="10" customFormat="false" ht="15" hidden="false" customHeight="false" outlineLevel="0" collapsed="false">
      <c r="A10" s="8" t="str">
        <f aca="false">Véhicules!A5</f>
        <v>V-01</v>
      </c>
      <c r="B10" s="18" t="n">
        <f aca="false">SUMIFS(Trajets!$G$5:$G$40,Trajets!$B$5:$B$40,A10,Trajets!$M$5:$M$40,$B$6)</f>
        <v>212</v>
      </c>
      <c r="C10" s="25" t="n">
        <f aca="false">SUMIFS(Trajets!$H$5:$H$40,Trajets!$B$5:$B$40,A10,Trajets!$M$5:$M$40,$B$6)</f>
        <v>31.3</v>
      </c>
      <c r="D10" s="19" t="n">
        <f aca="false">C10*$B$5</f>
        <v>56.34</v>
      </c>
      <c r="E10" s="19" t="n">
        <f aca="false">SUMIFS(Entretien!$E$5:$E$20,Entretien!$B$5:$B$20,A10,Entretien!$F$5:$F$20,$B$6)</f>
        <v>85</v>
      </c>
      <c r="F10" s="19" t="n">
        <f aca="false">D10+E10</f>
        <v>141.34</v>
      </c>
      <c r="G10" s="19" t="n">
        <f aca="false">IFERROR(IF(B10=0,"",F10/B10),"")</f>
        <v>0.666698113207547</v>
      </c>
    </row>
    <row r="11" customFormat="false" ht="15" hidden="false" customHeight="false" outlineLevel="0" collapsed="false">
      <c r="A11" s="4" t="str">
        <f aca="false">Véhicules!A6</f>
        <v>V-02</v>
      </c>
      <c r="B11" s="16" t="n">
        <f aca="false">SUMIFS(Trajets!$G$5:$G$40,Trajets!$B$5:$B$40,A11,Trajets!$M$5:$M$40,$B$6)</f>
        <v>150</v>
      </c>
      <c r="C11" s="26" t="n">
        <f aca="false">SUMIFS(Trajets!$H$5:$H$40,Trajets!$B$5:$B$40,A11,Trajets!$M$5:$M$40,$B$6)</f>
        <v>16.6</v>
      </c>
      <c r="D11" s="17" t="n">
        <f aca="false">C11*$B$5</f>
        <v>29.88</v>
      </c>
      <c r="E11" s="17" t="n">
        <f aca="false">SUMIFS(Entretien!$E$5:$E$20,Entretien!$B$5:$B$20,A11,Entretien!$F$5:$F$20,$B$6)</f>
        <v>220</v>
      </c>
      <c r="F11" s="17" t="n">
        <f aca="false">D11+E11</f>
        <v>249.88</v>
      </c>
      <c r="G11" s="17" t="n">
        <f aca="false">IFERROR(IF(B11=0,"",F11/B11),"")</f>
        <v>1.66586666666667</v>
      </c>
    </row>
    <row r="12" customFormat="false" ht="15" hidden="false" customHeight="false" outlineLevel="0" collapsed="false">
      <c r="A12" s="8" t="str">
        <f aca="false">Véhicules!A7</f>
        <v>V-03</v>
      </c>
      <c r="B12" s="18" t="n">
        <f aca="false">SUMIFS(Trajets!$G$5:$G$40,Trajets!$B$5:$B$40,A12,Trajets!$M$5:$M$40,$B$6)</f>
        <v>300</v>
      </c>
      <c r="C12" s="25" t="n">
        <f aca="false">SUMIFS(Trajets!$H$5:$H$40,Trajets!$B$5:$B$40,A12,Trajets!$M$5:$M$40,$B$6)</f>
        <v>51.1</v>
      </c>
      <c r="D12" s="19" t="n">
        <f aca="false">C12*$B$5</f>
        <v>91.98</v>
      </c>
      <c r="E12" s="19" t="n">
        <f aca="false">SUMIFS(Entretien!$E$5:$E$20,Entretien!$B$5:$B$20,A12,Entretien!$F$5:$F$20,$B$6)</f>
        <v>450</v>
      </c>
      <c r="F12" s="19" t="n">
        <f aca="false">D12+E12</f>
        <v>541.98</v>
      </c>
      <c r="G12" s="19" t="n">
        <f aca="false">IFERROR(IF(B12=0,"",F12/B12),"")</f>
        <v>1.8066</v>
      </c>
    </row>
    <row r="13" customFormat="false" ht="15" hidden="false" customHeight="false" outlineLevel="0" collapsed="false">
      <c r="A13" s="4" t="str">
        <f aca="false">Véhicules!A8</f>
        <v>V-04</v>
      </c>
      <c r="B13" s="16" t="n">
        <f aca="false">SUMIFS(Trajets!$G$5:$G$40,Trajets!$B$5:$B$40,A13,Trajets!$M$5:$M$40,$B$6)</f>
        <v>90</v>
      </c>
      <c r="C13" s="26" t="n">
        <f aca="false">SUMIFS(Trajets!$H$5:$H$40,Trajets!$B$5:$B$40,A13,Trajets!$M$5:$M$40,$B$6)</f>
        <v>11.1</v>
      </c>
      <c r="D13" s="17" t="n">
        <f aca="false">C13*$B$5</f>
        <v>19.98</v>
      </c>
      <c r="E13" s="17" t="n">
        <f aca="false">SUMIFS(Entretien!$E$5:$E$20,Entretien!$B$5:$B$20,A13,Entretien!$F$5:$F$20,$B$6)</f>
        <v>80</v>
      </c>
      <c r="F13" s="17" t="n">
        <f aca="false">D13+E13</f>
        <v>99.98</v>
      </c>
      <c r="G13" s="17" t="n">
        <f aca="false">IFERROR(IF(B13=0,"",F13/B13),"")</f>
        <v>1.11088888888889</v>
      </c>
    </row>
    <row r="14" customFormat="false" ht="15" hidden="false" customHeight="false" outlineLevel="0" collapsed="false">
      <c r="A14" s="27" t="s">
        <v>88</v>
      </c>
      <c r="B14" s="28" t="n">
        <f aca="false">SUM(B10:B13)</f>
        <v>752</v>
      </c>
      <c r="C14" s="29" t="n">
        <f aca="false">SUM(C10:C13)</f>
        <v>110.1</v>
      </c>
      <c r="D14" s="30" t="n">
        <f aca="false">SUM(D10:D13)</f>
        <v>198.18</v>
      </c>
      <c r="E14" s="30" t="n">
        <f aca="false">SUM(E10:E13)</f>
        <v>835</v>
      </c>
      <c r="F14" s="30" t="n">
        <f aca="false">SUM(F10:F13)</f>
        <v>1033.18</v>
      </c>
      <c r="G14" s="30" t="n">
        <f aca="false">IFERROR(IF(B14=0,"",F14/B14),"")</f>
        <v>1.37390957446809</v>
      </c>
    </row>
    <row r="16" customFormat="false" ht="15" hidden="false" customHeight="false" outlineLevel="0" collapsed="false">
      <c r="A16" s="20" t="s">
        <v>89</v>
      </c>
    </row>
    <row r="17" customFormat="false" ht="30" hidden="false" customHeight="true" outlineLevel="0" collapsed="false">
      <c r="A17" s="3" t="s">
        <v>23</v>
      </c>
      <c r="B17" s="3" t="s">
        <v>90</v>
      </c>
      <c r="C17" s="3" t="s">
        <v>27</v>
      </c>
      <c r="D17" s="3" t="s">
        <v>91</v>
      </c>
      <c r="E17" s="3" t="s">
        <v>92</v>
      </c>
    </row>
    <row r="18" customFormat="false" ht="15" hidden="false" customHeight="false" outlineLevel="0" collapsed="false">
      <c r="A18" s="9" t="s">
        <v>34</v>
      </c>
      <c r="B18" s="8" t="n">
        <f aca="false">COUNTIFS(Trajets!$C$5:$C$40,A18,Trajets!$M$5:$M$40,$B$6)</f>
        <v>5</v>
      </c>
      <c r="C18" s="8" t="n">
        <f aca="false">SUMIFS(Trajets!$G$5:$G$40,Trajets!$C$5:$C$40,A18,Trajets!$M$5:$M$40,$B$6)</f>
        <v>212</v>
      </c>
      <c r="D18" s="11" t="n">
        <f aca="false">IFERROR(AVERAGEIFS(Trajets!$I$5:$I$40,Trajets!$C$5:$C$40,A18,Trajets!$M$5:$M$40,$B$6),"")</f>
        <v>14.7181818181818</v>
      </c>
      <c r="E18" s="14" t="n">
        <f aca="false">IFERROR(AVERAGEIFS(Trajets!$K$5:$K$40,Trajets!$C$5:$C$40,A18,Trajets!$M$5:$M$40,$B$6),"")</f>
        <v>0.0150470219435737</v>
      </c>
    </row>
    <row r="19" customFormat="false" ht="15" hidden="false" customHeight="false" outlineLevel="0" collapsed="false">
      <c r="A19" s="5" t="s">
        <v>37</v>
      </c>
      <c r="B19" s="4" t="n">
        <f aca="false">COUNTIFS(Trajets!$C$5:$C$40,A19,Trajets!$M$5:$M$40,$B$6)</f>
        <v>4</v>
      </c>
      <c r="C19" s="4" t="n">
        <f aca="false">SUMIFS(Trajets!$G$5:$G$40,Trajets!$C$5:$C$40,A19,Trajets!$M$5:$M$40,$B$6)</f>
        <v>150</v>
      </c>
      <c r="D19" s="7" t="n">
        <f aca="false">IFERROR(AVERAGEIFS(Trajets!$I$5:$I$40,Trajets!$C$5:$C$40,A19,Trajets!$M$5:$M$40,$B$6),"")</f>
        <v>11.0446428571429</v>
      </c>
      <c r="E19" s="13" t="n">
        <f aca="false">IFERROR(AVERAGEIFS(Trajets!$K$5:$K$40,Trajets!$C$5:$C$40,A19,Trajets!$M$5:$M$40,$B$6),"")</f>
        <v>0.00405844155844157</v>
      </c>
    </row>
    <row r="20" customFormat="false" ht="15" hidden="false" customHeight="false" outlineLevel="0" collapsed="false">
      <c r="A20" s="9" t="s">
        <v>40</v>
      </c>
      <c r="B20" s="8" t="n">
        <f aca="false">COUNTIFS(Trajets!$C$5:$C$40,A20,Trajets!$M$5:$M$40,$B$6)</f>
        <v>6</v>
      </c>
      <c r="C20" s="8" t="n">
        <f aca="false">SUMIFS(Trajets!$G$5:$G$40,Trajets!$C$5:$C$40,A20,Trajets!$M$5:$M$40,$B$6)</f>
        <v>300</v>
      </c>
      <c r="D20" s="11" t="n">
        <f aca="false">IFERROR(AVERAGEIFS(Trajets!$I$5:$I$40,Trajets!$C$5:$C$40,A20,Trajets!$M$5:$M$40,$B$6),"")</f>
        <v>17.0333333333333</v>
      </c>
      <c r="E20" s="14" t="n">
        <f aca="false">IFERROR(AVERAGEIFS(Trajets!$K$5:$K$40,Trajets!$C$5:$C$40,A20,Trajets!$M$5:$M$40,$B$6),"")</f>
        <v>0.135555555555556</v>
      </c>
    </row>
    <row r="21" customFormat="false" ht="15" hidden="false" customHeight="false" outlineLevel="0" collapsed="false">
      <c r="A21" s="5" t="s">
        <v>45</v>
      </c>
      <c r="B21" s="4" t="n">
        <f aca="false">COUNTIFS(Trajets!$C$5:$C$40,A21,Trajets!$M$5:$M$40,$B$6)</f>
        <v>3</v>
      </c>
      <c r="C21" s="4" t="n">
        <f aca="false">SUMIFS(Trajets!$G$5:$G$40,Trajets!$C$5:$C$40,A21,Trajets!$M$5:$M$40,$B$6)</f>
        <v>90</v>
      </c>
      <c r="D21" s="7" t="n">
        <f aca="false">IFERROR(AVERAGEIFS(Trajets!$I$5:$I$40,Trajets!$C$5:$C$40,A21,Trajets!$M$5:$M$40,$B$6),"")</f>
        <v>12.3333333333333</v>
      </c>
      <c r="E21" s="13" t="n">
        <f aca="false">IFERROR(AVERAGEIFS(Trajets!$K$5:$K$40,Trajets!$C$5:$C$40,A21,Trajets!$M$5:$M$40,$B$6),"")</f>
        <v>-0.0133333333333333</v>
      </c>
    </row>
    <row r="23" customFormat="false" ht="15" hidden="false" customHeight="false" outlineLevel="0" collapsed="false">
      <c r="A23" s="12" t="s">
        <v>93</v>
      </c>
      <c r="B23" s="12"/>
      <c r="C23" s="12"/>
      <c r="D23" s="12"/>
      <c r="E23" s="12"/>
      <c r="F23" s="12"/>
      <c r="G23" s="12"/>
    </row>
  </sheetData>
  <mergeCells count="4">
    <mergeCell ref="A1:G1"/>
    <mergeCell ref="A2:G2"/>
    <mergeCell ref="D5:G6"/>
    <mergeCell ref="A23:G23"/>
  </mergeCells>
  <conditionalFormatting sqref="G10:G13">
    <cfRule type="expression" priority="2" aboveAverage="0" equalAverage="0" bottom="0" percent="0" rank="0" text="" dxfId="0">
      <formula>G10&gt;1.2*AVERAGE($G$10:$G$13)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2026-08-31T17:20:59Z</dcterms:created>
  <dc:creator>openpyxl</dc:creator>
  <dc:description/>
  <dc:language>fr-FR</dc:language>
  <cp:lastModifiedBy/>
  <dcterms:modified xsi:type="dcterms:W3CDTF">2026-08-31T17:21:00Z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