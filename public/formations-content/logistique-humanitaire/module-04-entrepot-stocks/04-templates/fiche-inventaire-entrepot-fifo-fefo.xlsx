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entaire" sheetId="1" state="visible" r:id="rId3"/>
    <sheet name="Synthèse par catégori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<sst xmlns="http://schemas.openxmlformats.org/spreadsheetml/2006/main" count="43" uniqueCount="35">
  <si>
    <t xml:space="preserve">FICHE D'INVENTAIRE ENTREPÔT — LOGIQUE FIFO / FEFO</t>
  </si>
  <si>
    <t xml:space="preserve">Module 04 — Entrepôt &amp; Gestion des Stocks — BK-BOOST Ltd. — Tri FEFO obligatoire pour tout article périssable (médical, alimentaire) : sortir en premier le lot dont la date de péremption est la plus proche, quelle que soit sa date d'entrée.</t>
  </si>
  <si>
    <t xml:space="preserve">Référence article</t>
  </si>
  <si>
    <t xml:space="preserve">Désignation</t>
  </si>
  <si>
    <t xml:space="preserve">Catégorie</t>
  </si>
  <si>
    <t xml:space="preserve">N° de lot</t>
  </si>
  <si>
    <t xml:space="preserve">Date de péremption</t>
  </si>
  <si>
    <t xml:space="preserve">Qté entrée</t>
  </si>
  <si>
    <t xml:space="preserve">Qté sortie</t>
  </si>
  <si>
    <t xml:space="preserve">Stock disponible</t>
  </si>
  <si>
    <t xml:space="preserve">Jours avant péremption</t>
  </si>
  <si>
    <t xml:space="preserve">Alerte FEFO</t>
  </si>
  <si>
    <t xml:space="preserve">MED-AMOX-250</t>
  </si>
  <si>
    <t xml:space="preserve">Amoxicilline 250mg (boîte de 100)</t>
  </si>
  <si>
    <t xml:space="preserve">Médical</t>
  </si>
  <si>
    <t xml:space="preserve">L2026-014</t>
  </si>
  <si>
    <t xml:space="preserve">L2026-031</t>
  </si>
  <si>
    <t xml:space="preserve">ALI-CSB-25KG</t>
  </si>
  <si>
    <t xml:space="preserve">CSB+ (farine enrichie, sac 25kg)</t>
  </si>
  <si>
    <t xml:space="preserve">Alimentaire</t>
  </si>
  <si>
    <t xml:space="preserve">L2026-088</t>
  </si>
  <si>
    <t xml:space="preserve">ALI-HUILE-5L</t>
  </si>
  <si>
    <t xml:space="preserve">Huile végétale fortifiée (bidon 5L)</t>
  </si>
  <si>
    <t xml:space="preserve">L2026-102</t>
  </si>
  <si>
    <t xml:space="preserve">NFI-BACHE-STD</t>
  </si>
  <si>
    <t xml:space="preserve">Bâche plastique standard 4x5m</t>
  </si>
  <si>
    <t xml:space="preserve">NFI (non périssable)</t>
  </si>
  <si>
    <t xml:space="preserve">L2026-055</t>
  </si>
  <si>
    <t xml:space="preserve">Légende Alerte FEFO : PÉRIMÉ = à retirer immédiatement du stock actif · URGENT = péremption ≤ 30 jours, à sortir en priorité · Surveiller = péremption ≤ 90 jours · OK = pas d'action requise · N/A = article non périssable (logique FIFO simple).</t>
  </si>
  <si>
    <t xml:space="preserve">SYNTHÈSE DES STOCKS PAR CATÉGORIE</t>
  </si>
  <si>
    <t xml:space="preserve">Calculée automatiquement à partir de l'onglet Inventaire — ne pas modifier les formules.</t>
  </si>
  <si>
    <t xml:space="preserve">Stock disponible total</t>
  </si>
  <si>
    <t xml:space="preserve">Articles en alerte (URGENT)</t>
  </si>
  <si>
    <t xml:space="preserve">Articles PÉRIMÉS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</si>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</sst>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B91C1C"/>
      </font>
      <fill>
        <patternFill>
          <bgColor rgb="FFFEE2E2"/>
        </patternFill>
      </fill>
    </dxf>
    <dxf>
      <font>
        <b val="1"/>
        <color rgb="FFB45309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4" hidden="false" customHeight="tru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5" t="n">
        <v>46310</v>
      </c>
      <c r="F5" s="4" t="n">
        <v>500</v>
      </c>
      <c r="G5" s="4" t="n">
        <v>120</v>
      </c>
      <c r="H5" s="6" t="n">
        <f aca="false">IF(AND(F5="",G5=""),"",F5-G5)</f>
        <v>380</v>
      </c>
      <c r="I5" s="6" t="n">
        <f aca="true">IF(E5="","",E5-TODAY())</f>
        <v>45</v>
      </c>
      <c r="J5" s="7" t="str">
        <f aca="false">IF(E5="","N/A (non périssable)",IF(I5&lt;0,"PÉRIMÉ - retirer",IF(I5&lt;=30,"URGENT - sortir en priorité (FEFO)",IF(I5&lt;=90,"Surveiller","OK"))))</f>
        <v>Surveiller</v>
      </c>
    </row>
    <row r="6" customFormat="false" ht="24" hidden="false" customHeight="true" outlineLevel="0" collapsed="false">
      <c r="A6" s="8" t="s">
        <v>12</v>
      </c>
      <c r="B6" s="8" t="s">
        <v>13</v>
      </c>
      <c r="C6" s="8" t="s">
        <v>14</v>
      </c>
      <c r="D6" s="8" t="s">
        <v>16</v>
      </c>
      <c r="E6" s="9" t="n">
        <v>46438</v>
      </c>
      <c r="F6" s="8" t="n">
        <v>800</v>
      </c>
      <c r="G6" s="8" t="n">
        <v>0</v>
      </c>
      <c r="H6" s="10" t="n">
        <f aca="false">IF(AND(F6="",G6=""),"",F6-G6)</f>
        <v>800</v>
      </c>
      <c r="I6" s="10" t="n">
        <f aca="true">IF(E6="","",E6-TODAY())</f>
        <v>173</v>
      </c>
      <c r="J6" s="11" t="str">
        <f aca="false">IF(E6="","N/A (non périssable)",IF(I6&lt;0,"PÉRIMÉ - retirer",IF(I6&lt;=30,"URGENT - sortir en priorité (FEFO)",IF(I6&lt;=90,"Surveiller","OK"))))</f>
        <v>OK</v>
      </c>
    </row>
    <row r="7" customFormat="false" ht="24" hidden="false" customHeight="true" outlineLevel="0" collapsed="false">
      <c r="A7" s="4" t="s">
        <v>17</v>
      </c>
      <c r="B7" s="4" t="s">
        <v>18</v>
      </c>
      <c r="C7" s="4" t="s">
        <v>19</v>
      </c>
      <c r="D7" s="4" t="s">
        <v>20</v>
      </c>
      <c r="E7" s="5" t="n">
        <v>46295</v>
      </c>
      <c r="F7" s="4" t="n">
        <v>300</v>
      </c>
      <c r="G7" s="4" t="n">
        <v>260</v>
      </c>
      <c r="H7" s="6" t="n">
        <f aca="false">IF(AND(F7="",G7=""),"",F7-G7)</f>
        <v>40</v>
      </c>
      <c r="I7" s="6" t="n">
        <f aca="true">IF(E7="","",E7-TODAY())</f>
        <v>30</v>
      </c>
      <c r="J7" s="7" t="str">
        <f aca="false">IF(E7="","N/A (non périssable)",IF(I7&lt;0,"PÉRIMÉ - retirer",IF(I7&lt;=30,"URGENT - sortir en priorité (FEFO)",IF(I7&lt;=90,"Surveiller","OK"))))</f>
        <v>URGENT - sortir en priorité (FEFO)</v>
      </c>
    </row>
    <row r="8" customFormat="false" ht="24" hidden="false" customHeight="true" outlineLevel="0" collapsed="false">
      <c r="A8" s="8" t="s">
        <v>21</v>
      </c>
      <c r="B8" s="8" t="s">
        <v>22</v>
      </c>
      <c r="C8" s="8" t="s">
        <v>19</v>
      </c>
      <c r="D8" s="8" t="s">
        <v>23</v>
      </c>
      <c r="E8" s="9" t="n">
        <v>46397</v>
      </c>
      <c r="F8" s="8" t="n">
        <v>400</v>
      </c>
      <c r="G8" s="8" t="n">
        <v>150</v>
      </c>
      <c r="H8" s="10" t="n">
        <f aca="false">IF(AND(F8="",G8=""),"",F8-G8)</f>
        <v>250</v>
      </c>
      <c r="I8" s="10" t="n">
        <f aca="true">IF(E8="","",E8-TODAY())</f>
        <v>132</v>
      </c>
      <c r="J8" s="11" t="str">
        <f aca="false">IF(E8="","N/A (non périssable)",IF(I8&lt;0,"PÉRIMÉ - retirer",IF(I8&lt;=30,"URGENT - sortir en priorité (FEFO)",IF(I8&lt;=90,"Surveiller","OK"))))</f>
        <v>OK</v>
      </c>
    </row>
    <row r="9" customFormat="false" ht="24" hidden="false" customHeight="true" outlineLevel="0" collapsed="false">
      <c r="A9" s="4" t="s">
        <v>24</v>
      </c>
      <c r="B9" s="4" t="s">
        <v>25</v>
      </c>
      <c r="C9" s="4" t="s">
        <v>26</v>
      </c>
      <c r="D9" s="4" t="s">
        <v>27</v>
      </c>
      <c r="E9" s="4"/>
      <c r="F9" s="4" t="n">
        <v>600</v>
      </c>
      <c r="G9" s="4" t="n">
        <v>220</v>
      </c>
      <c r="H9" s="6" t="n">
        <f aca="false">IF(AND(F9="",G9=""),"",F9-G9)</f>
        <v>380</v>
      </c>
      <c r="I9" s="6" t="str">
        <f aca="true">IF(E9="","",E9-TODAY())</f>
        <v/>
      </c>
      <c r="J9" s="7" t="str">
        <f aca="false">IF(E9="","N/A (non périssable)",IF(I9&lt;0,"PÉRIMÉ - retirer",IF(I9&lt;=30,"URGENT - sortir en priorité (FEFO)",IF(I9&lt;=90,"Surveiller","OK"))))</f>
        <v>N/A (non périssable)</v>
      </c>
    </row>
    <row r="10" customFormat="false" ht="24" hidden="false" customHeight="true" outlineLevel="0" collapsed="false">
      <c r="A10" s="8"/>
      <c r="B10" s="8"/>
      <c r="C10" s="8"/>
      <c r="D10" s="8"/>
      <c r="E10" s="8"/>
      <c r="F10" s="8"/>
      <c r="G10" s="8"/>
      <c r="H10" s="10" t="str">
        <f aca="false">IF(AND(F10="",G10=""),"",F10-G10)</f>
        <v/>
      </c>
      <c r="I10" s="10" t="str">
        <f aca="true">IF(E10="","",E10-TODAY())</f>
        <v/>
      </c>
      <c r="J10" s="11" t="str">
        <f aca="false">IF(E10="","N/A (non périssable)",IF(I10&lt;0,"PÉRIMÉ - retirer",IF(I10&lt;=30,"URGENT - sortir en priorité (FEFO)",IF(I10&lt;=90,"Surveiller","OK"))))</f>
        <v>N/A (non périssable)</v>
      </c>
    </row>
    <row r="11" customFormat="false" ht="24" hidden="false" customHeight="true" outlineLevel="0" collapsed="false">
      <c r="A11" s="4"/>
      <c r="B11" s="4"/>
      <c r="C11" s="4"/>
      <c r="D11" s="4"/>
      <c r="E11" s="4"/>
      <c r="F11" s="4"/>
      <c r="G11" s="4"/>
      <c r="H11" s="6" t="str">
        <f aca="false">IF(AND(F11="",G11=""),"",F11-G11)</f>
        <v/>
      </c>
      <c r="I11" s="6" t="str">
        <f aca="true">IF(E11="","",E11-TODAY())</f>
        <v/>
      </c>
      <c r="J11" s="7" t="str">
        <f aca="false">IF(E11="","N/A (non périssable)",IF(I11&lt;0,"PÉRIMÉ - retirer",IF(I11&lt;=30,"URGENT - sortir en priorité (FEFO)",IF(I11&lt;=90,"Surveiller","OK"))))</f>
        <v>N/A (non périssable)</v>
      </c>
    </row>
    <row r="12" customFormat="false" ht="24" hidden="false" customHeight="true" outlineLevel="0" collapsed="false">
      <c r="A12" s="8"/>
      <c r="B12" s="8"/>
      <c r="C12" s="8"/>
      <c r="D12" s="8"/>
      <c r="E12" s="8"/>
      <c r="F12" s="8"/>
      <c r="G12" s="8"/>
      <c r="H12" s="10" t="str">
        <f aca="false">IF(AND(F12="",G12=""),"",F12-G12)</f>
        <v/>
      </c>
      <c r="I12" s="10" t="str">
        <f aca="true">IF(E12="","",E12-TODAY())</f>
        <v/>
      </c>
      <c r="J12" s="11" t="str">
        <f aca="false">IF(E12="","N/A (non périssable)",IF(I12&lt;0,"PÉRIMÉ - retirer",IF(I12&lt;=30,"URGENT - sortir en priorité (FEFO)",IF(I12&lt;=90,"Surveiller","OK"))))</f>
        <v>N/A (non périssable)</v>
      </c>
    </row>
    <row r="13" customFormat="false" ht="24" hidden="false" customHeight="true" outlineLevel="0" collapsed="false">
      <c r="A13" s="4"/>
      <c r="B13" s="4"/>
      <c r="C13" s="4"/>
      <c r="D13" s="4"/>
      <c r="E13" s="4"/>
      <c r="F13" s="4"/>
      <c r="G13" s="4"/>
      <c r="H13" s="6" t="str">
        <f aca="false">IF(AND(F13="",G13=""),"",F13-G13)</f>
        <v/>
      </c>
      <c r="I13" s="6" t="str">
        <f aca="true">IF(E13="","",E13-TODAY())</f>
        <v/>
      </c>
      <c r="J13" s="7" t="str">
        <f aca="false">IF(E13="","N/A (non périssable)",IF(I13&lt;0,"PÉRIMÉ - retirer",IF(I13&lt;=30,"URGENT - sortir en priorité (FEFO)",IF(I13&lt;=90,"Surveiller","OK"))))</f>
        <v>N/A (non périssable)</v>
      </c>
    </row>
    <row r="14" customFormat="false" ht="24" hidden="false" customHeight="true" outlineLevel="0" collapsed="false">
      <c r="A14" s="8"/>
      <c r="B14" s="8"/>
      <c r="C14" s="8"/>
      <c r="D14" s="8"/>
      <c r="E14" s="8"/>
      <c r="F14" s="8"/>
      <c r="G14" s="8"/>
      <c r="H14" s="10" t="str">
        <f aca="false">IF(AND(F14="",G14=""),"",F14-G14)</f>
        <v/>
      </c>
      <c r="I14" s="10" t="str">
        <f aca="true">IF(E14="","",E14-TODAY())</f>
        <v/>
      </c>
      <c r="J14" s="11" t="str">
        <f aca="false">IF(E14="","N/A (non périssable)",IF(I14&lt;0,"PÉRIMÉ - retirer",IF(I14&lt;=30,"URGENT - sortir en priorité (FEFO)",IF(I14&lt;=90,"Surveiller","OK"))))</f>
        <v>N/A (non périssable)</v>
      </c>
    </row>
    <row r="15" customFormat="false" ht="24" hidden="false" customHeight="true" outlineLevel="0" collapsed="false">
      <c r="A15" s="4"/>
      <c r="B15" s="4"/>
      <c r="C15" s="4"/>
      <c r="D15" s="4"/>
      <c r="E15" s="4"/>
      <c r="F15" s="4"/>
      <c r="G15" s="4"/>
      <c r="H15" s="6" t="str">
        <f aca="false">IF(AND(F15="",G15=""),"",F15-G15)</f>
        <v/>
      </c>
      <c r="I15" s="6" t="str">
        <f aca="true">IF(E15="","",E15-TODAY())</f>
        <v/>
      </c>
      <c r="J15" s="7" t="str">
        <f aca="false">IF(E15="","N/A (non périssable)",IF(I15&lt;0,"PÉRIMÉ - retirer",IF(I15&lt;=30,"URGENT - sortir en priorité (FEFO)",IF(I15&lt;=90,"Surveiller","OK"))))</f>
        <v>N/A (non périssable)</v>
      </c>
    </row>
    <row r="16" customFormat="false" ht="24" hidden="false" customHeight="true" outlineLevel="0" collapsed="false">
      <c r="A16" s="8"/>
      <c r="B16" s="8"/>
      <c r="C16" s="8"/>
      <c r="D16" s="8"/>
      <c r="E16" s="8"/>
      <c r="F16" s="8"/>
      <c r="G16" s="8"/>
      <c r="H16" s="10" t="str">
        <f aca="false">IF(AND(F16="",G16=""),"",F16-G16)</f>
        <v/>
      </c>
      <c r="I16" s="10" t="str">
        <f aca="true">IF(E16="","",E16-TODAY())</f>
        <v/>
      </c>
      <c r="J16" s="11" t="str">
        <f aca="false">IF(E16="","N/A (non périssable)",IF(I16&lt;0,"PÉRIMÉ - retirer",IF(I16&lt;=30,"URGENT - sortir en priorité (FEFO)",IF(I16&lt;=90,"Surveiller","OK"))))</f>
        <v>N/A (non périssable)</v>
      </c>
    </row>
    <row r="17" customFormat="false" ht="24" hidden="false" customHeight="true" outlineLevel="0" collapsed="false">
      <c r="A17" s="4"/>
      <c r="B17" s="4"/>
      <c r="C17" s="4"/>
      <c r="D17" s="4"/>
      <c r="E17" s="4"/>
      <c r="F17" s="4"/>
      <c r="G17" s="4"/>
      <c r="H17" s="6" t="str">
        <f aca="false">IF(AND(F17="",G17=""),"",F17-G17)</f>
        <v/>
      </c>
      <c r="I17" s="6" t="str">
        <f aca="true">IF(E17="","",E17-TODAY())</f>
        <v/>
      </c>
      <c r="J17" s="7" t="str">
        <f aca="false">IF(E17="","N/A (non périssable)",IF(I17&lt;0,"PÉRIMÉ - retirer",IF(I17&lt;=30,"URGENT - sortir en priorité (FEFO)",IF(I17&lt;=90,"Surveiller","OK"))))</f>
        <v>N/A (non périssable)</v>
      </c>
    </row>
    <row r="18" customFormat="false" ht="24" hidden="false" customHeight="true" outlineLevel="0" collapsed="false">
      <c r="A18" s="8"/>
      <c r="B18" s="8"/>
      <c r="C18" s="8"/>
      <c r="D18" s="8"/>
      <c r="E18" s="8"/>
      <c r="F18" s="8"/>
      <c r="G18" s="8"/>
      <c r="H18" s="10" t="str">
        <f aca="false">IF(AND(F18="",G18=""),"",F18-G18)</f>
        <v/>
      </c>
      <c r="I18" s="10" t="str">
        <f aca="true">IF(E18="","",E18-TODAY())</f>
        <v/>
      </c>
      <c r="J18" s="11" t="str">
        <f aca="false">IF(E18="","N/A (non périssable)",IF(I18&lt;0,"PÉRIMÉ - retirer",IF(I18&lt;=30,"URGENT - sortir en priorité (FEFO)",IF(I18&lt;=90,"Surveiller","OK"))))</f>
        <v>N/A (non périssable)</v>
      </c>
    </row>
    <row r="19" customFormat="false" ht="24" hidden="false" customHeight="true" outlineLevel="0" collapsed="false">
      <c r="A19" s="4"/>
      <c r="B19" s="4"/>
      <c r="C19" s="4"/>
      <c r="D19" s="4"/>
      <c r="E19" s="4"/>
      <c r="F19" s="4"/>
      <c r="G19" s="4"/>
      <c r="H19" s="6" t="str">
        <f aca="false">IF(AND(F19="",G19=""),"",F19-G19)</f>
        <v/>
      </c>
      <c r="I19" s="6" t="str">
        <f aca="true">IF(E19="","",E19-TODAY())</f>
        <v/>
      </c>
      <c r="J19" s="7" t="str">
        <f aca="false">IF(E19="","N/A (non périssable)",IF(I19&lt;0,"PÉRIMÉ - retirer",IF(I19&lt;=30,"URGENT - sortir en priorité (FEFO)",IF(I19&lt;=90,"Surveiller","OK"))))</f>
        <v>N/A (non périssable)</v>
      </c>
    </row>
    <row r="20" customFormat="false" ht="24" hidden="false" customHeight="true" outlineLevel="0" collapsed="false">
      <c r="A20" s="8"/>
      <c r="B20" s="8"/>
      <c r="C20" s="8"/>
      <c r="D20" s="8"/>
      <c r="E20" s="8"/>
      <c r="F20" s="8"/>
      <c r="G20" s="8"/>
      <c r="H20" s="10" t="str">
        <f aca="false">IF(AND(F20="",G20=""),"",F20-G20)</f>
        <v/>
      </c>
      <c r="I20" s="10" t="str">
        <f aca="true">IF(E20="","",E20-TODAY())</f>
        <v/>
      </c>
      <c r="J20" s="11" t="str">
        <f aca="false">IF(E20="","N/A (non périssable)",IF(I20&lt;0,"PÉRIMÉ - retirer",IF(I20&lt;=30,"URGENT - sortir en priorité (FEFO)",IF(I20&lt;=90,"Surveiller","OK"))))</f>
        <v>N/A (non périssable)</v>
      </c>
    </row>
    <row r="21" customFormat="false" ht="24" hidden="false" customHeight="true" outlineLevel="0" collapsed="false">
      <c r="A21" s="4"/>
      <c r="B21" s="4"/>
      <c r="C21" s="4"/>
      <c r="D21" s="4"/>
      <c r="E21" s="4"/>
      <c r="F21" s="4"/>
      <c r="G21" s="4"/>
      <c r="H21" s="6" t="str">
        <f aca="false">IF(AND(F21="",G21=""),"",F21-G21)</f>
        <v/>
      </c>
      <c r="I21" s="6" t="str">
        <f aca="true">IF(E21="","",E21-TODAY())</f>
        <v/>
      </c>
      <c r="J21" s="7" t="str">
        <f aca="false">IF(E21="","N/A (non périssable)",IF(I21&lt;0,"PÉRIMÉ - retirer",IF(I21&lt;=30,"URGENT - sortir en priorité (FEFO)",IF(I21&lt;=90,"Surveiller","OK"))))</f>
        <v>N/A (non périssable)</v>
      </c>
    </row>
    <row r="22" customFormat="false" ht="24" hidden="false" customHeight="true" outlineLevel="0" collapsed="false">
      <c r="A22" s="8"/>
      <c r="B22" s="8"/>
      <c r="C22" s="8"/>
      <c r="D22" s="8"/>
      <c r="E22" s="8"/>
      <c r="F22" s="8"/>
      <c r="G22" s="8"/>
      <c r="H22" s="10" t="str">
        <f aca="false">IF(AND(F22="",G22=""),"",F22-G22)</f>
        <v/>
      </c>
      <c r="I22" s="10" t="str">
        <f aca="true">IF(E22="","",E22-TODAY())</f>
        <v/>
      </c>
      <c r="J22" s="11" t="str">
        <f aca="false">IF(E22="","N/A (non périssable)",IF(I22&lt;0,"PÉRIMÉ - retirer",IF(I22&lt;=30,"URGENT - sortir en priorité (FEFO)",IF(I22&lt;=90,"Surveiller","OK"))))</f>
        <v>N/A (non périssable)</v>
      </c>
    </row>
    <row r="23" customFormat="false" ht="24" hidden="false" customHeight="true" outlineLevel="0" collapsed="false">
      <c r="A23" s="4"/>
      <c r="B23" s="4"/>
      <c r="C23" s="4"/>
      <c r="D23" s="4"/>
      <c r="E23" s="4"/>
      <c r="F23" s="4"/>
      <c r="G23" s="4"/>
      <c r="H23" s="6" t="str">
        <f aca="false">IF(AND(F23="",G23=""),"",F23-G23)</f>
        <v/>
      </c>
      <c r="I23" s="6" t="str">
        <f aca="true">IF(E23="","",E23-TODAY())</f>
        <v/>
      </c>
      <c r="J23" s="7" t="str">
        <f aca="false">IF(E23="","N/A (non périssable)",IF(I23&lt;0,"PÉRIMÉ - retirer",IF(I23&lt;=30,"URGENT - sortir en priorité (FEFO)",IF(I23&lt;=90,"Surveiller","OK"))))</f>
        <v>N/A (non périssable)</v>
      </c>
    </row>
    <row r="24" customFormat="false" ht="24" hidden="false" customHeight="true" outlineLevel="0" collapsed="false">
      <c r="A24" s="8"/>
      <c r="B24" s="8"/>
      <c r="C24" s="8"/>
      <c r="D24" s="8"/>
      <c r="E24" s="8"/>
      <c r="F24" s="8"/>
      <c r="G24" s="8"/>
      <c r="H24" s="10" t="str">
        <f aca="false">IF(AND(F24="",G24=""),"",F24-G24)</f>
        <v/>
      </c>
      <c r="I24" s="10" t="str">
        <f aca="true">IF(E24="","",E24-TODAY())</f>
        <v/>
      </c>
      <c r="J24" s="11" t="str">
        <f aca="false">IF(E24="","N/A (non périssable)",IF(I24&lt;0,"PÉRIMÉ - retirer",IF(I24&lt;=30,"URGENT - sortir en priorité (FEFO)",IF(I24&lt;=90,"Surveiller","OK"))))</f>
        <v>N/A (non périssable)</v>
      </c>
    </row>
    <row r="26" customFormat="false" ht="15" hidden="false" customHeight="true" outlineLevel="0" collapsed="false">
      <c r="A26" s="12" t="s">
        <v>28</v>
      </c>
      <c r="B26" s="12"/>
      <c r="C26" s="12"/>
      <c r="D26" s="12"/>
      <c r="E26" s="12"/>
      <c r="F26" s="12"/>
      <c r="G26" s="12"/>
      <c r="H26" s="12"/>
      <c r="I26" s="12"/>
      <c r="J26" s="12"/>
    </row>
  </sheetData>
  <mergeCells count="3">
    <mergeCell ref="A1:J1"/>
    <mergeCell ref="A2:J2"/>
    <mergeCell ref="A26:J26"/>
  </mergeCells>
  <conditionalFormatting sqref="J5:J24">
    <cfRule type="expression" priority="2" aboveAverage="0" equalAverage="0" bottom="0" percent="0" rank="0" text="" dxfId="0">
      <formula>LEFT(J5,6)="PÉRIMÉ"</formula>
    </cfRule>
    <cfRule type="expression" priority="3" aboveAverage="0" equalAverage="0" bottom="0" percent="0" rank="0" text="" dxfId="1">
      <formula>LEFT(J5,6)="URGENT"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</row>
    <row r="2" customFormat="false" ht="15" hidden="false" customHeight="true" outlineLevel="0" collapsed="false">
      <c r="A2" s="2" t="s">
        <v>30</v>
      </c>
      <c r="B2" s="2"/>
      <c r="C2" s="2"/>
      <c r="D2" s="2"/>
    </row>
    <row r="4" customFormat="false" ht="30" hidden="false" customHeight="true" outlineLevel="0" collapsed="false">
      <c r="A4" s="3" t="s">
        <v>4</v>
      </c>
      <c r="B4" s="3" t="s">
        <v>31</v>
      </c>
      <c r="C4" s="3" t="s">
        <v>32</v>
      </c>
      <c r="D4" s="3" t="s">
        <v>33</v>
      </c>
    </row>
    <row r="5" customFormat="false" ht="15" hidden="false" customHeight="false" outlineLevel="0" collapsed="false">
      <c r="A5" s="13" t="s">
        <v>14</v>
      </c>
      <c r="B5" s="6" t="n">
        <f aca="false">SUMIFS(Inventaire!$H$5:$H$24,Inventaire!$C$5:$C$24,A5)</f>
        <v>1180</v>
      </c>
      <c r="C5" s="6" t="n">
        <f aca="false">COUNTIFS(Inventaire!$C$5:$C$24,A5,Inventaire!$J$5:$J$24,"URGENT - sortir en priorité (FEFO)")</f>
        <v>0</v>
      </c>
      <c r="D5" s="6" t="n">
        <f aca="false">COUNTIFS(Inventaire!$C$5:$C$24,A5,Inventaire!$J$5:$J$24,"PÉRIMÉ - retirer")</f>
        <v>0</v>
      </c>
    </row>
    <row r="6" customFormat="false" ht="15" hidden="false" customHeight="false" outlineLevel="0" collapsed="false">
      <c r="A6" s="13" t="s">
        <v>19</v>
      </c>
      <c r="B6" s="6" t="n">
        <f aca="false">SUMIFS(Inventaire!$H$5:$H$24,Inventaire!$C$5:$C$24,A6)</f>
        <v>290</v>
      </c>
      <c r="C6" s="6" t="n">
        <f aca="false">COUNTIFS(Inventaire!$C$5:$C$24,A6,Inventaire!$J$5:$J$24,"URGENT - sortir en priorité (FEFO)")</f>
        <v>1</v>
      </c>
      <c r="D6" s="6" t="n">
        <f aca="false">COUNTIFS(Inventaire!$C$5:$C$24,A6,Inventaire!$J$5:$J$24,"PÉRIMÉ - retirer")</f>
        <v>0</v>
      </c>
    </row>
    <row r="7" customFormat="false" ht="15" hidden="false" customHeight="false" outlineLevel="0" collapsed="false">
      <c r="A7" s="13" t="s">
        <v>26</v>
      </c>
      <c r="B7" s="6" t="n">
        <f aca="false">SUMIFS(Inventaire!$H$5:$H$24,Inventaire!$C$5:$C$24,A7)</f>
        <v>380</v>
      </c>
      <c r="C7" s="6" t="n">
        <f aca="false">COUNTIFS(Inventaire!$C$5:$C$24,A7,Inventaire!$J$5:$J$24,"URGENT - sortir en priorité (FEFO)")</f>
        <v>0</v>
      </c>
      <c r="D7" s="6" t="n">
        <f aca="false">COUNTIFS(Inventaire!$C$5:$C$24,A7,Inventaire!$J$5:$J$24,"PÉRIMÉ - retirer")</f>
        <v>0</v>
      </c>
    </row>
    <row r="8" customFormat="false" ht="15" hidden="false" customHeight="false" outlineLevel="0" collapsed="false">
      <c r="A8" s="14" t="s">
        <v>34</v>
      </c>
      <c r="B8" s="15" t="n">
        <f aca="false">SUM(B5:B7)</f>
        <v>1850</v>
      </c>
      <c r="C8" s="15" t="n">
        <f aca="false">SUM(C5:C7)</f>
        <v>1</v>
      </c>
      <c r="D8" s="15" t="n">
        <f aca="false">SUM(D5:D7)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2026-08-31T17:16:30Z</dcterms:created>
  <dc:creator>openpyxl</dc:creator>
  <dc:description/>
  <dc:language>fr-FR</dc:language>
  <cp:lastModifiedBy/>
  <dcterms:modified xsi:type="dcterms:W3CDTF">2026-08-31T17:16:30Z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