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gistre quotidien" sheetId="1" state="visible" r:id="rId3"/>
    <sheet name="Synthèse mensuell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<sst xmlns="http://schemas.openxmlformats.org/spreadsheetml/2006/main" count="42" uniqueCount="29">
  <si>
    <t xml:space="preserve">REGISTRE DE SUIVI — CHAÎNE DU FROID</t>
  </si>
  <si>
    <t xml:space="preserve">Module 05 — Chaîne du Froid &amp; Produits Médicaux — BK-BOOST Ltd.</t>
  </si>
  <si>
    <t xml:space="preserve">Date</t>
  </si>
  <si>
    <t xml:space="preserve">Unité de froid</t>
  </si>
  <si>
    <t xml:space="preserve">Relevé matin (°C)</t>
  </si>
  <si>
    <t xml:space="preserve">Statut matin</t>
  </si>
  <si>
    <t xml:space="preserve">Relevé après-midi (°C)</t>
  </si>
  <si>
    <t xml:space="preserve">Statut après-midi</t>
  </si>
  <si>
    <t xml:space="preserve">Observations</t>
  </si>
  <si>
    <t xml:space="preserve">2026-03-13</t>
  </si>
  <si>
    <t xml:space="preserve">Réfrigérateur PEV - Rutshuru</t>
  </si>
  <si>
    <t xml:space="preserve">2026-03-14</t>
  </si>
  <si>
    <t xml:space="preserve">Relevé matin manquant — coupure réseau, aucun agent sur site le samedi matin</t>
  </si>
  <si>
    <t xml:space="preserve">2026-03-15</t>
  </si>
  <si>
    <t xml:space="preserve">Groupe électrogène redémarré dimanche en fin de journée</t>
  </si>
  <si>
    <t xml:space="preserve">2026-03-16</t>
  </si>
  <si>
    <t xml:space="preserve">Retour à la normale confirmé</t>
  </si>
  <si>
    <t xml:space="preserve">Chambre froide - Entrepôt régional</t>
  </si>
  <si>
    <t xml:space="preserve">Plage de référence : 2°C à 8°C. Deux relevés obligatoires par jour, 7j/7, y compris week-ends et jours fériés. Tout relevé « HORS PLAGE » doit déclencher une alerte immédiate (voir Module 05 — 02. Outils).</t>
  </si>
  <si>
    <t xml:space="preserve">SYNTHÈSE MENSUELLE — EXCURSIONS DE TEMPÉRATURE</t>
  </si>
  <si>
    <t xml:space="preserve">Calculée automatiquement à partir de l'onglet « Registre quotidien » — ne pas modifier les formules.</t>
  </si>
  <si>
    <t xml:space="preserve">Relevés hors plage (matin)</t>
  </si>
  <si>
    <t xml:space="preserve">Relevés hors plage (après-midi)</t>
  </si>
  <si>
    <t xml:space="preserve">Total excursions</t>
  </si>
  <si>
    <t xml:space="preserve">Temp. min (°C)</t>
  </si>
  <si>
    <t xml:space="preserve">Temp. max (°C)</t>
  </si>
  <si>
    <t xml:space="preserve">Temp. moyenne (°C)</t>
  </si>
  <si>
    <t xml:space="preserve">TOTAL toutes unités</t>
  </si>
  <si>
    <t xml:space="preserve">Une unité qui cumule plusieurs excursions sur le mois doit être signalée à la coordination logistique pour vérification ou remplacement (voir Module 05 — 02. Outils, Étape 6).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</si>
</sst>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B72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08080"/>
      </patternFill>
    </fill>
    <fill>
      <patternFill patternType="solid">
        <fgColor rgb="FFECFD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B91C1C"/>
        <sz val="10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047857"/>
        <sz val="10"/>
      </font>
      <fill>
        <patternFill>
          <bgColor rgb="FFECFDF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ECFDF5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91C1C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30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4" t="n">
        <v>4</v>
      </c>
      <c r="D5" s="5" t="str">
        <f aca="false">IF(C5="","",IF(OR(C5&lt;2,C5&gt;8),"HORS PLAGE","OK"))</f>
        <v>OK</v>
      </c>
      <c r="E5" s="4" t="n">
        <v>5</v>
      </c>
      <c r="F5" s="5" t="str">
        <f aca="false">IF(E5="","",IF(OR(E5&lt;2,E5&gt;8),"HORS PLAGE","OK"))</f>
        <v>OK</v>
      </c>
      <c r="G5" s="6"/>
    </row>
    <row r="6" customFormat="false" ht="32" hidden="false" customHeight="false" outlineLevel="0" collapsed="false">
      <c r="A6" s="7" t="s">
        <v>11</v>
      </c>
      <c r="B6" s="7" t="s">
        <v>10</v>
      </c>
      <c r="C6" s="7"/>
      <c r="D6" s="8" t="str">
        <f aca="false">IF(C6="","",IF(OR(C6&lt;2,C6&gt;8),"HORS PLAGE","OK"))</f>
        <v/>
      </c>
      <c r="E6" s="7" t="n">
        <v>9</v>
      </c>
      <c r="F6" s="8" t="str">
        <f aca="false">IF(E6="","",IF(OR(E6&lt;2,E6&gt;8),"HORS PLAGE","OK"))</f>
        <v>HORS PLAGE</v>
      </c>
      <c r="G6" s="9" t="s">
        <v>12</v>
      </c>
    </row>
    <row r="7" customFormat="false" ht="22" hidden="false" customHeight="false" outlineLevel="0" collapsed="false">
      <c r="A7" s="4" t="s">
        <v>13</v>
      </c>
      <c r="B7" s="4" t="s">
        <v>10</v>
      </c>
      <c r="C7" s="4" t="n">
        <v>11</v>
      </c>
      <c r="D7" s="5" t="str">
        <f aca="false">IF(C7="","",IF(OR(C7&lt;2,C7&gt;8),"HORS PLAGE","OK"))</f>
        <v>HORS PLAGE</v>
      </c>
      <c r="E7" s="4" t="n">
        <v>6</v>
      </c>
      <c r="F7" s="5" t="str">
        <f aca="false">IF(E7="","",IF(OR(E7&lt;2,E7&gt;8),"HORS PLAGE","OK"))</f>
        <v>OK</v>
      </c>
      <c r="G7" s="6" t="s">
        <v>14</v>
      </c>
    </row>
    <row r="8" customFormat="false" ht="15" hidden="false" customHeight="false" outlineLevel="0" collapsed="false">
      <c r="A8" s="7" t="s">
        <v>15</v>
      </c>
      <c r="B8" s="7" t="s">
        <v>10</v>
      </c>
      <c r="C8" s="7" t="n">
        <v>4</v>
      </c>
      <c r="D8" s="8" t="str">
        <f aca="false">IF(C8="","",IF(OR(C8&lt;2,C8&gt;8),"HORS PLAGE","OK"))</f>
        <v>OK</v>
      </c>
      <c r="E8" s="7" t="n">
        <v>5</v>
      </c>
      <c r="F8" s="8" t="str">
        <f aca="false">IF(E8="","",IF(OR(E8&lt;2,E8&gt;8),"HORS PLAGE","OK"))</f>
        <v>OK</v>
      </c>
      <c r="G8" s="9" t="s">
        <v>16</v>
      </c>
    </row>
    <row r="9" customFormat="false" ht="15" hidden="false" customHeight="false" outlineLevel="0" collapsed="false">
      <c r="A9" s="4" t="s">
        <v>9</v>
      </c>
      <c r="B9" s="4" t="s">
        <v>17</v>
      </c>
      <c r="C9" s="4" t="n">
        <v>5</v>
      </c>
      <c r="D9" s="5" t="str">
        <f aca="false">IF(C9="","",IF(OR(C9&lt;2,C9&gt;8),"HORS PLAGE","OK"))</f>
        <v>OK</v>
      </c>
      <c r="E9" s="4" t="n">
        <v>6</v>
      </c>
      <c r="F9" s="5" t="str">
        <f aca="false">IF(E9="","",IF(OR(E9&lt;2,E9&gt;8),"HORS PLAGE","OK"))</f>
        <v>OK</v>
      </c>
      <c r="G9" s="6"/>
    </row>
    <row r="10" customFormat="false" ht="15" hidden="false" customHeight="false" outlineLevel="0" collapsed="false">
      <c r="A10" s="7" t="s">
        <v>11</v>
      </c>
      <c r="B10" s="7" t="s">
        <v>17</v>
      </c>
      <c r="C10" s="7" t="n">
        <v>5</v>
      </c>
      <c r="D10" s="8" t="str">
        <f aca="false">IF(C10="","",IF(OR(C10&lt;2,C10&gt;8),"HORS PLAGE","OK"))</f>
        <v>OK</v>
      </c>
      <c r="E10" s="7" t="n">
        <v>5</v>
      </c>
      <c r="F10" s="8" t="str">
        <f aca="false">IF(E10="","",IF(OR(E10&lt;2,E10&gt;8),"HORS PLAGE","OK"))</f>
        <v>OK</v>
      </c>
      <c r="G10" s="9"/>
    </row>
    <row r="11" customFormat="false" ht="15" hidden="false" customHeight="false" outlineLevel="0" collapsed="false">
      <c r="A11" s="4" t="s">
        <v>13</v>
      </c>
      <c r="B11" s="4" t="s">
        <v>17</v>
      </c>
      <c r="C11" s="4" t="n">
        <v>6</v>
      </c>
      <c r="D11" s="5" t="str">
        <f aca="false">IF(C11="","",IF(OR(C11&lt;2,C11&gt;8),"HORS PLAGE","OK"))</f>
        <v>OK</v>
      </c>
      <c r="E11" s="4" t="n">
        <v>6</v>
      </c>
      <c r="F11" s="5" t="str">
        <f aca="false">IF(E11="","",IF(OR(E11&lt;2,E11&gt;8),"HORS PLAGE","OK"))</f>
        <v>OK</v>
      </c>
      <c r="G11" s="6"/>
    </row>
    <row r="12" customFormat="false" ht="15" hidden="false" customHeight="false" outlineLevel="0" collapsed="false">
      <c r="A12" s="7" t="s">
        <v>15</v>
      </c>
      <c r="B12" s="7" t="s">
        <v>17</v>
      </c>
      <c r="C12" s="7" t="n">
        <v>5</v>
      </c>
      <c r="D12" s="8" t="str">
        <f aca="false">IF(C12="","",IF(OR(C12&lt;2,C12&gt;8),"HORS PLAGE","OK"))</f>
        <v>OK</v>
      </c>
      <c r="E12" s="7" t="n">
        <v>5</v>
      </c>
      <c r="F12" s="8" t="str">
        <f aca="false">IF(E12="","",IF(OR(E12&lt;2,E12&gt;8),"HORS PLAGE","OK"))</f>
        <v>OK</v>
      </c>
      <c r="G12" s="9"/>
    </row>
    <row r="13" customFormat="false" ht="15" hidden="false" customHeight="false" outlineLevel="0" collapsed="false">
      <c r="A13" s="10"/>
      <c r="B13" s="10"/>
      <c r="C13" s="10"/>
      <c r="D13" s="10" t="str">
        <f aca="false">IF(C13="","",IF(OR(C13&lt;2,C13&gt;8),"HORS PLAGE","OK"))</f>
        <v/>
      </c>
      <c r="E13" s="10"/>
      <c r="F13" s="10" t="str">
        <f aca="false">IF(E13="","",IF(OR(E13&lt;2,E13&gt;8),"HORS PLAGE","OK"))</f>
        <v/>
      </c>
      <c r="G13" s="10"/>
    </row>
    <row r="14" customFormat="false" ht="15" hidden="false" customHeight="false" outlineLevel="0" collapsed="false">
      <c r="A14" s="10"/>
      <c r="B14" s="10"/>
      <c r="C14" s="10"/>
      <c r="D14" s="10" t="str">
        <f aca="false">IF(C14="","",IF(OR(C14&lt;2,C14&gt;8),"HORS PLAGE","OK"))</f>
        <v/>
      </c>
      <c r="E14" s="10"/>
      <c r="F14" s="10" t="str">
        <f aca="false">IF(E14="","",IF(OR(E14&lt;2,E14&gt;8),"HORS PLAGE","OK"))</f>
        <v/>
      </c>
      <c r="G14" s="10"/>
    </row>
    <row r="15" customFormat="false" ht="15" hidden="false" customHeight="false" outlineLevel="0" collapsed="false">
      <c r="A15" s="10"/>
      <c r="B15" s="10"/>
      <c r="C15" s="10"/>
      <c r="D15" s="10" t="str">
        <f aca="false">IF(C15="","",IF(OR(C15&lt;2,C15&gt;8),"HORS PLAGE","OK"))</f>
        <v/>
      </c>
      <c r="E15" s="10"/>
      <c r="F15" s="10" t="str">
        <f aca="false">IF(E15="","",IF(OR(E15&lt;2,E15&gt;8),"HORS PLAGE","OK"))</f>
        <v/>
      </c>
      <c r="G15" s="10"/>
    </row>
    <row r="16" customFormat="false" ht="15" hidden="false" customHeight="false" outlineLevel="0" collapsed="false">
      <c r="A16" s="10"/>
      <c r="B16" s="10"/>
      <c r="C16" s="10"/>
      <c r="D16" s="10" t="str">
        <f aca="false">IF(C16="","",IF(OR(C16&lt;2,C16&gt;8),"HORS PLAGE","OK"))</f>
        <v/>
      </c>
      <c r="E16" s="10"/>
      <c r="F16" s="10" t="str">
        <f aca="false">IF(E16="","",IF(OR(E16&lt;2,E16&gt;8),"HORS PLAGE","OK"))</f>
        <v/>
      </c>
      <c r="G16" s="10"/>
    </row>
    <row r="17" customFormat="false" ht="15" hidden="false" customHeight="false" outlineLevel="0" collapsed="false">
      <c r="A17" s="10"/>
      <c r="B17" s="10"/>
      <c r="C17" s="10"/>
      <c r="D17" s="10" t="str">
        <f aca="false">IF(C17="","",IF(OR(C17&lt;2,C17&gt;8),"HORS PLAGE","OK"))</f>
        <v/>
      </c>
      <c r="E17" s="10"/>
      <c r="F17" s="10" t="str">
        <f aca="false">IF(E17="","",IF(OR(E17&lt;2,E17&gt;8),"HORS PLAGE","OK"))</f>
        <v/>
      </c>
      <c r="G17" s="10"/>
    </row>
    <row r="18" customFormat="false" ht="15" hidden="false" customHeight="false" outlineLevel="0" collapsed="false">
      <c r="A18" s="10"/>
      <c r="B18" s="10"/>
      <c r="C18" s="10"/>
      <c r="D18" s="10" t="str">
        <f aca="false">IF(C18="","",IF(OR(C18&lt;2,C18&gt;8),"HORS PLAGE","OK"))</f>
        <v/>
      </c>
      <c r="E18" s="10"/>
      <c r="F18" s="10" t="str">
        <f aca="false">IF(E18="","",IF(OR(E18&lt;2,E18&gt;8),"HORS PLAGE","OK"))</f>
        <v/>
      </c>
      <c r="G18" s="10"/>
    </row>
    <row r="19" customFormat="false" ht="15" hidden="false" customHeight="false" outlineLevel="0" collapsed="false">
      <c r="A19" s="10"/>
      <c r="B19" s="10"/>
      <c r="C19" s="10"/>
      <c r="D19" s="10" t="str">
        <f aca="false">IF(C19="","",IF(OR(C19&lt;2,C19&gt;8),"HORS PLAGE","OK"))</f>
        <v/>
      </c>
      <c r="E19" s="10"/>
      <c r="F19" s="10" t="str">
        <f aca="false">IF(E19="","",IF(OR(E19&lt;2,E19&gt;8),"HORS PLAGE","OK"))</f>
        <v/>
      </c>
      <c r="G19" s="10"/>
    </row>
    <row r="20" customFormat="false" ht="15" hidden="false" customHeight="false" outlineLevel="0" collapsed="false">
      <c r="A20" s="10"/>
      <c r="B20" s="10"/>
      <c r="C20" s="10"/>
      <c r="D20" s="10" t="str">
        <f aca="false">IF(C20="","",IF(OR(C20&lt;2,C20&gt;8),"HORS PLAGE","OK"))</f>
        <v/>
      </c>
      <c r="E20" s="10"/>
      <c r="F20" s="10" t="str">
        <f aca="false">IF(E20="","",IF(OR(E20&lt;2,E20&gt;8),"HORS PLAGE","OK"))</f>
        <v/>
      </c>
      <c r="G20" s="10"/>
    </row>
    <row r="21" customFormat="false" ht="15" hidden="false" customHeight="false" outlineLevel="0" collapsed="false">
      <c r="A21" s="10"/>
      <c r="B21" s="10"/>
      <c r="C21" s="10"/>
      <c r="D21" s="10" t="str">
        <f aca="false">IF(C21="","",IF(OR(C21&lt;2,C21&gt;8),"HORS PLAGE","OK"))</f>
        <v/>
      </c>
      <c r="E21" s="10"/>
      <c r="F21" s="10" t="str">
        <f aca="false">IF(E21="","",IF(OR(E21&lt;2,E21&gt;8),"HORS PLAGE","OK"))</f>
        <v/>
      </c>
      <c r="G21" s="10"/>
    </row>
    <row r="22" customFormat="false" ht="15" hidden="false" customHeight="false" outlineLevel="0" collapsed="false">
      <c r="A22" s="10"/>
      <c r="B22" s="10"/>
      <c r="C22" s="10"/>
      <c r="D22" s="10" t="str">
        <f aca="false">IF(C22="","",IF(OR(C22&lt;2,C22&gt;8),"HORS PLAGE","OK"))</f>
        <v/>
      </c>
      <c r="E22" s="10"/>
      <c r="F22" s="10" t="str">
        <f aca="false">IF(E22="","",IF(OR(E22&lt;2,E22&gt;8),"HORS PLAGE","OK"))</f>
        <v/>
      </c>
      <c r="G22" s="10"/>
    </row>
    <row r="23" customFormat="false" ht="15" hidden="false" customHeight="false" outlineLevel="0" collapsed="false">
      <c r="A23" s="10"/>
      <c r="B23" s="10"/>
      <c r="C23" s="10"/>
      <c r="D23" s="10" t="str">
        <f aca="false">IF(C23="","",IF(OR(C23&lt;2,C23&gt;8),"HORS PLAGE","OK"))</f>
        <v/>
      </c>
      <c r="E23" s="10"/>
      <c r="F23" s="10" t="str">
        <f aca="false">IF(E23="","",IF(OR(E23&lt;2,E23&gt;8),"HORS PLAGE","OK"))</f>
        <v/>
      </c>
      <c r="G23" s="10"/>
    </row>
    <row r="24" customFormat="false" ht="15" hidden="false" customHeight="false" outlineLevel="0" collapsed="false">
      <c r="A24" s="10"/>
      <c r="B24" s="10"/>
      <c r="C24" s="10"/>
      <c r="D24" s="10" t="str">
        <f aca="false">IF(C24="","",IF(OR(C24&lt;2,C24&gt;8),"HORS PLAGE","OK"))</f>
        <v/>
      </c>
      <c r="E24" s="10"/>
      <c r="F24" s="10" t="str">
        <f aca="false">IF(E24="","",IF(OR(E24&lt;2,E24&gt;8),"HORS PLAGE","OK"))</f>
        <v/>
      </c>
      <c r="G24" s="10"/>
    </row>
    <row r="25" customFormat="false" ht="15" hidden="false" customHeight="false" outlineLevel="0" collapsed="false">
      <c r="A25" s="10"/>
      <c r="B25" s="10"/>
      <c r="C25" s="10"/>
      <c r="D25" s="10" t="str">
        <f aca="false">IF(C25="","",IF(OR(C25&lt;2,C25&gt;8),"HORS PLAGE","OK"))</f>
        <v/>
      </c>
      <c r="E25" s="10"/>
      <c r="F25" s="10" t="str">
        <f aca="false">IF(E25="","",IF(OR(E25&lt;2,E25&gt;8),"HORS PLAGE","OK"))</f>
        <v/>
      </c>
      <c r="G25" s="10"/>
    </row>
    <row r="26" customFormat="false" ht="15" hidden="false" customHeight="false" outlineLevel="0" collapsed="false">
      <c r="A26" s="10"/>
      <c r="B26" s="10"/>
      <c r="C26" s="10"/>
      <c r="D26" s="10" t="str">
        <f aca="false">IF(C26="","",IF(OR(C26&lt;2,C26&gt;8),"HORS PLAGE","OK"))</f>
        <v/>
      </c>
      <c r="E26" s="10"/>
      <c r="F26" s="10" t="str">
        <f aca="false">IF(E26="","",IF(OR(E26&lt;2,E26&gt;8),"HORS PLAGE","OK"))</f>
        <v/>
      </c>
      <c r="G26" s="10"/>
    </row>
    <row r="27" customFormat="false" ht="15" hidden="false" customHeight="false" outlineLevel="0" collapsed="false">
      <c r="A27" s="10"/>
      <c r="B27" s="10"/>
      <c r="C27" s="10"/>
      <c r="D27" s="10" t="str">
        <f aca="false">IF(C27="","",IF(OR(C27&lt;2,C27&gt;8),"HORS PLAGE","OK"))</f>
        <v/>
      </c>
      <c r="E27" s="10"/>
      <c r="F27" s="10" t="str">
        <f aca="false">IF(E27="","",IF(OR(E27&lt;2,E27&gt;8),"HORS PLAGE","OK"))</f>
        <v/>
      </c>
      <c r="G27" s="10"/>
    </row>
    <row r="28" customFormat="false" ht="15" hidden="false" customHeight="false" outlineLevel="0" collapsed="false">
      <c r="A28" s="10"/>
      <c r="B28" s="10"/>
      <c r="C28" s="10"/>
      <c r="D28" s="10" t="str">
        <f aca="false">IF(C28="","",IF(OR(C28&lt;2,C28&gt;8),"HORS PLAGE","OK"))</f>
        <v/>
      </c>
      <c r="E28" s="10"/>
      <c r="F28" s="10" t="str">
        <f aca="false">IF(E28="","",IF(OR(E28&lt;2,E28&gt;8),"HORS PLAGE","OK"))</f>
        <v/>
      </c>
      <c r="G28" s="10"/>
    </row>
    <row r="29" customFormat="false" ht="15" hidden="false" customHeight="false" outlineLevel="0" collapsed="false">
      <c r="A29" s="10"/>
      <c r="B29" s="10"/>
      <c r="C29" s="10"/>
      <c r="D29" s="10" t="str">
        <f aca="false">IF(C29="","",IF(OR(C29&lt;2,C29&gt;8),"HORS PLAGE","OK"))</f>
        <v/>
      </c>
      <c r="E29" s="10"/>
      <c r="F29" s="10" t="str">
        <f aca="false">IF(E29="","",IF(OR(E29&lt;2,E29&gt;8),"HORS PLAGE","OK"))</f>
        <v/>
      </c>
      <c r="G29" s="10"/>
    </row>
    <row r="30" customFormat="false" ht="15" hidden="false" customHeight="false" outlineLevel="0" collapsed="false">
      <c r="A30" s="10"/>
      <c r="B30" s="10"/>
      <c r="C30" s="10"/>
      <c r="D30" s="10" t="str">
        <f aca="false">IF(C30="","",IF(OR(C30&lt;2,C30&gt;8),"HORS PLAGE","OK"))</f>
        <v/>
      </c>
      <c r="E30" s="10"/>
      <c r="F30" s="10" t="str">
        <f aca="false">IF(E30="","",IF(OR(E30&lt;2,E30&gt;8),"HORS PLAGE","OK"))</f>
        <v/>
      </c>
      <c r="G30" s="10"/>
    </row>
    <row r="31" customFormat="false" ht="15" hidden="false" customHeight="false" outlineLevel="0" collapsed="false">
      <c r="A31" s="10"/>
      <c r="B31" s="10"/>
      <c r="C31" s="10"/>
      <c r="D31" s="10" t="str">
        <f aca="false">IF(C31="","",IF(OR(C31&lt;2,C31&gt;8),"HORS PLAGE","OK"))</f>
        <v/>
      </c>
      <c r="E31" s="10"/>
      <c r="F31" s="10" t="str">
        <f aca="false">IF(E31="","",IF(OR(E31&lt;2,E31&gt;8),"HORS PLAGE","OK"))</f>
        <v/>
      </c>
      <c r="G31" s="10"/>
    </row>
    <row r="32" customFormat="false" ht="15" hidden="false" customHeight="false" outlineLevel="0" collapsed="false">
      <c r="A32" s="10"/>
      <c r="B32" s="10"/>
      <c r="C32" s="10"/>
      <c r="D32" s="10" t="str">
        <f aca="false">IF(C32="","",IF(OR(C32&lt;2,C32&gt;8),"HORS PLAGE","OK"))</f>
        <v/>
      </c>
      <c r="E32" s="10"/>
      <c r="F32" s="10" t="str">
        <f aca="false">IF(E32="","",IF(OR(E32&lt;2,E32&gt;8),"HORS PLAGE","OK"))</f>
        <v/>
      </c>
      <c r="G32" s="10"/>
    </row>
    <row r="33" customFormat="false" ht="15" hidden="false" customHeight="false" outlineLevel="0" collapsed="false">
      <c r="A33" s="10"/>
      <c r="B33" s="10"/>
      <c r="C33" s="10"/>
      <c r="D33" s="10" t="str">
        <f aca="false">IF(C33="","",IF(OR(C33&lt;2,C33&gt;8),"HORS PLAGE","OK"))</f>
        <v/>
      </c>
      <c r="E33" s="10"/>
      <c r="F33" s="10" t="str">
        <f aca="false">IF(E33="","",IF(OR(E33&lt;2,E33&gt;8),"HORS PLAGE","OK"))</f>
        <v/>
      </c>
      <c r="G33" s="10"/>
    </row>
    <row r="34" customFormat="false" ht="15" hidden="false" customHeight="false" outlineLevel="0" collapsed="false">
      <c r="A34" s="10"/>
      <c r="B34" s="10"/>
      <c r="C34" s="10"/>
      <c r="D34" s="10" t="str">
        <f aca="false">IF(C34="","",IF(OR(C34&lt;2,C34&gt;8),"HORS PLAGE","OK"))</f>
        <v/>
      </c>
      <c r="E34" s="10"/>
      <c r="F34" s="10" t="str">
        <f aca="false">IF(E34="","",IF(OR(E34&lt;2,E34&gt;8),"HORS PLAGE","OK"))</f>
        <v/>
      </c>
      <c r="G34" s="10"/>
    </row>
    <row r="35" customFormat="false" ht="15" hidden="false" customHeight="false" outlineLevel="0" collapsed="false">
      <c r="A35" s="10"/>
      <c r="B35" s="10"/>
      <c r="C35" s="10"/>
      <c r="D35" s="10" t="str">
        <f aca="false">IF(C35="","",IF(OR(C35&lt;2,C35&gt;8),"HORS PLAGE","OK"))</f>
        <v/>
      </c>
      <c r="E35" s="10"/>
      <c r="F35" s="10" t="str">
        <f aca="false">IF(E35="","",IF(OR(E35&lt;2,E35&gt;8),"HORS PLAGE","OK"))</f>
        <v/>
      </c>
      <c r="G35" s="10"/>
    </row>
    <row r="36" customFormat="false" ht="15" hidden="false" customHeight="false" outlineLevel="0" collapsed="false">
      <c r="A36" s="10"/>
      <c r="B36" s="10"/>
      <c r="C36" s="10"/>
      <c r="D36" s="10" t="str">
        <f aca="false">IF(C36="","",IF(OR(C36&lt;2,C36&gt;8),"HORS PLAGE","OK"))</f>
        <v/>
      </c>
      <c r="E36" s="10"/>
      <c r="F36" s="10" t="str">
        <f aca="false">IF(E36="","",IF(OR(E36&lt;2,E36&gt;8),"HORS PLAGE","OK"))</f>
        <v/>
      </c>
      <c r="G36" s="10"/>
    </row>
    <row r="37" customFormat="false" ht="15" hidden="false" customHeight="false" outlineLevel="0" collapsed="false">
      <c r="A37" s="10"/>
      <c r="B37" s="10"/>
      <c r="C37" s="10"/>
      <c r="D37" s="10" t="str">
        <f aca="false">IF(C37="","",IF(OR(C37&lt;2,C37&gt;8),"HORS PLAGE","OK"))</f>
        <v/>
      </c>
      <c r="E37" s="10"/>
      <c r="F37" s="10" t="str">
        <f aca="false">IF(E37="","",IF(OR(E37&lt;2,E37&gt;8),"HORS PLAGE","OK"))</f>
        <v/>
      </c>
      <c r="G37" s="10"/>
    </row>
    <row r="38" customFormat="false" ht="15" hidden="false" customHeight="false" outlineLevel="0" collapsed="false">
      <c r="A38" s="10"/>
      <c r="B38" s="10"/>
      <c r="C38" s="10"/>
      <c r="D38" s="10" t="str">
        <f aca="false">IF(C38="","",IF(OR(C38&lt;2,C38&gt;8),"HORS PLAGE","OK"))</f>
        <v/>
      </c>
      <c r="E38" s="10"/>
      <c r="F38" s="10" t="str">
        <f aca="false">IF(E38="","",IF(OR(E38&lt;2,E38&gt;8),"HORS PLAGE","OK"))</f>
        <v/>
      </c>
      <c r="G38" s="10"/>
    </row>
    <row r="39" customFormat="false" ht="15" hidden="false" customHeight="false" outlineLevel="0" collapsed="false">
      <c r="A39" s="10"/>
      <c r="B39" s="10"/>
      <c r="C39" s="10"/>
      <c r="D39" s="10" t="str">
        <f aca="false">IF(C39="","",IF(OR(C39&lt;2,C39&gt;8),"HORS PLAGE","OK"))</f>
        <v/>
      </c>
      <c r="E39" s="10"/>
      <c r="F39" s="10" t="str">
        <f aca="false">IF(E39="","",IF(OR(E39&lt;2,E39&gt;8),"HORS PLAGE","OK"))</f>
        <v/>
      </c>
      <c r="G39" s="10"/>
    </row>
    <row r="40" customFormat="false" ht="15" hidden="false" customHeight="false" outlineLevel="0" collapsed="false">
      <c r="A40" s="10"/>
      <c r="B40" s="10"/>
      <c r="C40" s="10"/>
      <c r="D40" s="10" t="str">
        <f aca="false">IF(C40="","",IF(OR(C40&lt;2,C40&gt;8),"HORS PLAGE","OK"))</f>
        <v/>
      </c>
      <c r="E40" s="10"/>
      <c r="F40" s="10" t="str">
        <f aca="false">IF(E40="","",IF(OR(E40&lt;2,E40&gt;8),"HORS PLAGE","OK"))</f>
        <v/>
      </c>
      <c r="G40" s="10"/>
    </row>
    <row r="42" customFormat="false" ht="22" hidden="false" customHeight="true" outlineLevel="0" collapsed="false">
      <c r="A42" s="11" t="s">
        <v>18</v>
      </c>
      <c r="B42" s="11"/>
      <c r="C42" s="11"/>
      <c r="D42" s="11"/>
      <c r="E42" s="11"/>
      <c r="F42" s="11"/>
      <c r="G42" s="11"/>
    </row>
  </sheetData>
  <mergeCells count="3">
    <mergeCell ref="A1:G1"/>
    <mergeCell ref="A2:G2"/>
    <mergeCell ref="A42:G42"/>
  </mergeCells>
  <conditionalFormatting sqref="D5:D40">
    <cfRule type="expression" priority="2" aboveAverage="0" equalAverage="0" bottom="0" percent="0" rank="0" text="" dxfId="0">
      <formula>D5="HORS PLAGE"</formula>
    </cfRule>
    <cfRule type="expression" priority="3" aboveAverage="0" equalAverage="0" bottom="0" percent="0" rank="0" text="" dxfId="1">
      <formula>D5="OK"</formula>
    </cfRule>
  </conditionalFormatting>
  <conditionalFormatting sqref="F5:F40">
    <cfRule type="expression" priority="4" aboveAverage="0" equalAverage="0" bottom="0" percent="0" rank="0" text="" dxfId="0">
      <formula>F5="HORS PLAGE"</formula>
    </cfRule>
    <cfRule type="expression" priority="5" aboveAverage="0" equalAverage="0" bottom="0" percent="0" rank="0" text="" dxfId="1">
      <formula>F5="OK"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16"/>
  </cols>
  <sheetData>
    <row r="1" customFormat="false" ht="33.75" hidden="false" customHeight="true" outlineLevel="0" collapsed="false">
      <c r="A1" s="1" t="s">
        <v>19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20</v>
      </c>
      <c r="B2" s="2"/>
      <c r="C2" s="2"/>
      <c r="D2" s="2"/>
      <c r="E2" s="2"/>
      <c r="F2" s="2"/>
      <c r="G2" s="2"/>
    </row>
    <row r="4" customFormat="false" ht="33.75" hidden="false" customHeight="true" outlineLevel="0" collapsed="false">
      <c r="A4" s="3" t="s">
        <v>3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</row>
    <row r="5" customFormat="false" ht="15" hidden="false" customHeight="false" outlineLevel="0" collapsed="false">
      <c r="A5" s="10" t="s">
        <v>10</v>
      </c>
      <c r="B5" s="10" t="n">
        <f aca="false">COUNTIFS('Registre quotidien'!$B$5:$B$40,A5,'Registre quotidien'!$D$5:$D$40,"HORS PLAGE")</f>
        <v>1</v>
      </c>
      <c r="C5" s="10" t="n">
        <f aca="false">COUNTIFS('Registre quotidien'!$B$5:$B$40,A5,'Registre quotidien'!$F$5:$F$40,"HORS PLAGE")</f>
        <v>1</v>
      </c>
      <c r="D5" s="12" t="n">
        <f aca="false">B5+C5</f>
        <v>2</v>
      </c>
      <c r="E5" s="10" t="n">
        <f aca="false">MIN(_xlfn.MINIFS('Registre quotidien'!$C$5:$C$40,'Registre quotidien'!$B$5:$B$40,A5),_xlfn.MINIFS('Registre quotidien'!$E$5:$E$40,'Registre quotidien'!$B$5:$B$40,A5))</f>
        <v>4</v>
      </c>
      <c r="F5" s="10" t="n">
        <f aca="false">MAX(_xlfn.MAXIFS('Registre quotidien'!$C$5:$C$40,'Registre quotidien'!$B$5:$B$40,A5),_xlfn.MAXIFS('Registre quotidien'!$E$5:$E$40,'Registre quotidien'!$B$5:$B$40,A5))</f>
        <v>11</v>
      </c>
      <c r="G5" s="10" t="n">
        <f aca="false">(SUMIFS('Registre quotidien'!$C$5:$C$40,'Registre quotidien'!$B$5:$B$40,A5)+SUMIFS('Registre quotidien'!$E$5:$E$40,'Registre quotidien'!$B$5:$B$40,A5))/(COUNTIFS('Registre quotidien'!$B$5:$B$40,A5,'Registre quotidien'!$C$5:$C$40,"&lt;&gt;")+COUNTIFS('Registre quotidien'!$B$5:$B$40,A5,'Registre quotidien'!$E$5:$E$40,"&lt;&gt;"))</f>
        <v>6.28571428571429</v>
      </c>
    </row>
    <row r="6" customFormat="false" ht="15" hidden="false" customHeight="false" outlineLevel="0" collapsed="false">
      <c r="A6" s="13" t="s">
        <v>17</v>
      </c>
      <c r="B6" s="13" t="n">
        <f aca="false">COUNTIFS('Registre quotidien'!$B$5:$B$40,A6,'Registre quotidien'!$D$5:$D$40,"HORS PLAGE")</f>
        <v>0</v>
      </c>
      <c r="C6" s="13" t="n">
        <f aca="false">COUNTIFS('Registre quotidien'!$B$5:$B$40,A6,'Registre quotidien'!$F$5:$F$40,"HORS PLAGE")</f>
        <v>0</v>
      </c>
      <c r="D6" s="14" t="n">
        <f aca="false">B6+C6</f>
        <v>0</v>
      </c>
      <c r="E6" s="13" t="n">
        <f aca="false">MIN(_xlfn.MINIFS('Registre quotidien'!$C$5:$C$40,'Registre quotidien'!$B$5:$B$40,A6),_xlfn.MINIFS('Registre quotidien'!$E$5:$E$40,'Registre quotidien'!$B$5:$B$40,A6))</f>
        <v>5</v>
      </c>
      <c r="F6" s="13" t="n">
        <f aca="false">MAX(_xlfn.MAXIFS('Registre quotidien'!$C$5:$C$40,'Registre quotidien'!$B$5:$B$40,A6),_xlfn.MAXIFS('Registre quotidien'!$E$5:$E$40,'Registre quotidien'!$B$5:$B$40,A6))</f>
        <v>6</v>
      </c>
      <c r="G6" s="13" t="n">
        <f aca="false">(SUMIFS('Registre quotidien'!$C$5:$C$40,'Registre quotidien'!$B$5:$B$40,A6)+SUMIFS('Registre quotidien'!$E$5:$E$40,'Registre quotidien'!$B$5:$B$40,A6))/(COUNTIFS('Registre quotidien'!$B$5:$B$40,A6,'Registre quotidien'!$C$5:$C$40,"&lt;&gt;")+COUNTIFS('Registre quotidien'!$B$5:$B$40,A6,'Registre quotidien'!$E$5:$E$40,"&lt;&gt;"))</f>
        <v>5.375</v>
      </c>
    </row>
    <row r="7" customFormat="false" ht="15" hidden="false" customHeight="false" outlineLevel="0" collapsed="false">
      <c r="A7" s="12" t="s">
        <v>27</v>
      </c>
      <c r="B7" s="12" t="n">
        <f aca="false">SUM(B5:B6)</f>
        <v>1</v>
      </c>
      <c r="C7" s="12" t="n">
        <f aca="false">SUM(C5:C6)</f>
        <v>1</v>
      </c>
      <c r="D7" s="12" t="n">
        <f aca="false">SUM(D5:D6)</f>
        <v>2</v>
      </c>
      <c r="E7" s="15"/>
      <c r="F7" s="15"/>
      <c r="G7" s="15"/>
    </row>
    <row r="9" customFormat="false" ht="15" hidden="false" customHeight="true" outlineLevel="0" collapsed="false">
      <c r="A9" s="11" t="s">
        <v>28</v>
      </c>
      <c r="B9" s="11"/>
      <c r="C9" s="11"/>
      <c r="D9" s="11"/>
      <c r="E9" s="11"/>
      <c r="F9" s="11"/>
      <c r="G9" s="11"/>
    </row>
  </sheetData>
  <mergeCells count="3">
    <mergeCell ref="A1:G1"/>
    <mergeCell ref="A2:G2"/>
    <mergeCell ref="A9:G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2026-08-31T17:19:28Z</dcterms:created>
  <dc:creator>openpyxl</dc:creator>
  <dc:description/>
  <dc:language>fr-FR</dc:language>
  <cp:lastModifiedBy/>
  <dcterms:modified xsi:type="dcterms:W3CDTF">2026-08-31T17:19:28Z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