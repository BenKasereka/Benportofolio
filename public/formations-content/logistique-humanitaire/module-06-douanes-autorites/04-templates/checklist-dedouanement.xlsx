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dossiers" sheetId="1" state="visible" r:id="rId1"/>
    <sheet xmlns:r="http://schemas.openxmlformats.org/officeDocument/2006/relationships" name="Tableau de bord" sheetId="2" state="visible" r:id="rId2"/>
  </sheets>
  <definedNames>
    <definedName name="_xlnm.Print_Titles" localSheetId="0">'Suivi dossiers'!$1:$4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B91C1C"/>
    </font>
    <font>
      <name val="Arial"/>
      <sz val="10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4785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5" fillId="0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1FAE5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ont>
        <b val="1"/>
        <color rgb="00B91C1C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2" customWidth="1" min="3" max="3"/>
    <col width="16" customWidth="1" min="4" max="4"/>
    <col width="34" customWidth="1" min="5" max="5"/>
    <col width="14" customWidth="1" min="6" max="6"/>
    <col width="14" customWidth="1" min="7" max="7"/>
    <col width="24" customWidth="1" min="8" max="8"/>
    <col width="12" customWidth="1" min="9" max="9"/>
    <col width="10" customWidth="1" min="10" max="10"/>
  </cols>
  <sheetData>
    <row r="1" ht="30" customHeight="1">
      <c r="A1" s="1" t="inlineStr">
        <is>
          <t>CHECKLIST DE DEDOUANEMENT HUMANITAIRE</t>
        </is>
      </c>
    </row>
    <row r="2" ht="18" customHeight="1">
      <c r="A2" s="2" t="inlineStr">
        <is>
          <t>Formation en Logistique Humanitaire · Module 06 · BK-BOOST Ltd.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2" customHeight="1">
      <c r="A4" s="4" t="inlineStr">
        <is>
          <t>Shipment ID</t>
        </is>
      </c>
      <c r="B4" s="4" t="inlineStr">
        <is>
          <t>Origine</t>
        </is>
      </c>
      <c r="C4" s="4" t="inlineStr">
        <is>
          <t>Description marchandise</t>
        </is>
      </c>
      <c r="D4" s="4" t="inlineStr">
        <is>
          <t>Date ouverture dossier</t>
        </is>
      </c>
      <c r="E4" s="4" t="inlineStr">
        <is>
          <t>Document requis</t>
        </is>
      </c>
      <c r="F4" s="4" t="inlineStr">
        <is>
          <t>Statut</t>
        </is>
      </c>
      <c r="G4" s="4" t="inlineStr">
        <is>
          <t>Date obtenue</t>
        </is>
      </c>
      <c r="H4" s="4" t="inlineStr">
        <is>
          <t>Responsable</t>
        </is>
      </c>
      <c r="I4" s="4" t="inlineStr">
        <is>
          <t>Jours ecoules</t>
        </is>
      </c>
      <c r="J4" s="4" t="inlineStr">
        <is>
          <t>Alerte</t>
        </is>
      </c>
    </row>
    <row r="5">
      <c r="A5" s="5" t="inlineStr">
        <is>
          <t>TCD-2026-011</t>
        </is>
      </c>
      <c r="B5" s="5" t="inlineStr">
        <is>
          <t>Douala, Cameroun</t>
        </is>
      </c>
      <c r="C5" s="5" t="inlineStr">
        <is>
          <t>Kits sanitaires + moustiquaires</t>
        </is>
      </c>
      <c r="D5" s="6" t="n">
        <v>46240</v>
      </c>
      <c r="E5" s="5" t="inlineStr">
        <is>
          <t>Facture commerciale</t>
        </is>
      </c>
      <c r="F5" s="5" t="inlineStr">
        <is>
          <t>Obtenu</t>
        </is>
      </c>
      <c r="G5" s="6" t="n">
        <v>46245</v>
      </c>
      <c r="H5" s="5" t="inlineStr">
        <is>
          <t>A. Mbeki (transitaire)</t>
        </is>
      </c>
      <c r="I5" s="7">
        <f>IF(OR(F5="Obtenu",F5="Non applicable",D5=""),"",TODAY()-D5)</f>
        <v/>
      </c>
      <c r="J5" s="7">
        <f>IF(AND(F5&lt;&gt;"Obtenu",F5&lt;&gt;"Non applicable",D5&lt;&gt;"",(TODAY()-D5)&gt;5),"RETARD","")</f>
        <v/>
      </c>
    </row>
    <row r="6">
      <c r="A6" s="5" t="inlineStr">
        <is>
          <t>TCD-2026-011</t>
        </is>
      </c>
      <c r="B6" s="5" t="inlineStr">
        <is>
          <t>Douala, Cameroun</t>
        </is>
      </c>
      <c r="C6" s="5" t="inlineStr">
        <is>
          <t>Kits sanitaires + moustiquaires</t>
        </is>
      </c>
      <c r="D6" s="6" t="n">
        <v>46240</v>
      </c>
      <c r="E6" s="5" t="inlineStr">
        <is>
          <t>Liste de colisage (packing list)</t>
        </is>
      </c>
      <c r="F6" s="5" t="inlineStr">
        <is>
          <t>Obtenu</t>
        </is>
      </c>
      <c r="G6" s="6" t="n">
        <v>46245</v>
      </c>
      <c r="H6" s="5" t="inlineStr">
        <is>
          <t>A. Mbeki (transitaire)</t>
        </is>
      </c>
      <c r="I6" s="7">
        <f>IF(OR(F6="Obtenu",F6="Non applicable",D6=""),"",TODAY()-D6)</f>
        <v/>
      </c>
      <c r="J6" s="7">
        <f>IF(AND(F6&lt;&gt;"Obtenu",F6&lt;&gt;"Non applicable",D6&lt;&gt;"",(TODAY()-D6)&gt;5),"RETARD","")</f>
        <v/>
      </c>
    </row>
    <row r="7">
      <c r="A7" s="5" t="inlineStr">
        <is>
          <t>TCD-2026-011</t>
        </is>
      </c>
      <c r="B7" s="5" t="inlineStr">
        <is>
          <t>Douala, Cameroun</t>
        </is>
      </c>
      <c r="C7" s="5" t="inlineStr">
        <is>
          <t>Kits sanitaires + moustiquaires</t>
        </is>
      </c>
      <c r="D7" s="6" t="n">
        <v>46240</v>
      </c>
      <c r="E7" s="5" t="inlineStr">
        <is>
          <t>Certificat d'origine</t>
        </is>
      </c>
      <c r="F7" s="5" t="inlineStr">
        <is>
          <t>Obtenu</t>
        </is>
      </c>
      <c r="G7" s="6" t="n">
        <v>46245</v>
      </c>
      <c r="H7" s="5" t="inlineStr">
        <is>
          <t>A. Mbeki (transitaire)</t>
        </is>
      </c>
      <c r="I7" s="7">
        <f>IF(OR(F7="Obtenu",F7="Non applicable",D7=""),"",TODAY()-D7)</f>
        <v/>
      </c>
      <c r="J7" s="7">
        <f>IF(AND(F7&lt;&gt;"Obtenu",F7&lt;&gt;"Non applicable",D7&lt;&gt;"",(TODAY()-D7)&gt;5),"RETARD","")</f>
        <v/>
      </c>
    </row>
    <row r="8">
      <c r="A8" s="5" t="inlineStr">
        <is>
          <t>TCD-2026-011</t>
        </is>
      </c>
      <c r="B8" s="5" t="inlineStr">
        <is>
          <t>Douala, Cameroun</t>
        </is>
      </c>
      <c r="C8" s="5" t="inlineStr">
        <is>
          <t>Kits sanitaires + moustiquaires</t>
        </is>
      </c>
      <c r="D8" s="6" t="n">
        <v>46240</v>
      </c>
      <c r="E8" s="5" t="inlineStr">
        <is>
          <t>Demande d'exoneration douaniere</t>
        </is>
      </c>
      <c r="F8" s="5" t="inlineStr">
        <is>
          <t>Obtenu</t>
        </is>
      </c>
      <c r="G8" s="6" t="n">
        <v>46245</v>
      </c>
      <c r="H8" s="5" t="inlineStr">
        <is>
          <t>A. Mbeki (transitaire)</t>
        </is>
      </c>
      <c r="I8" s="7">
        <f>IF(OR(F8="Obtenu",F8="Non applicable",D8=""),"",TODAY()-D8)</f>
        <v/>
      </c>
      <c r="J8" s="7">
        <f>IF(AND(F8&lt;&gt;"Obtenu",F8&lt;&gt;"Non applicable",D8&lt;&gt;"",(TODAY()-D8)&gt;5),"RETARD","")</f>
        <v/>
      </c>
    </row>
    <row r="9">
      <c r="A9" s="5" t="inlineStr">
        <is>
          <t>TCD-2026-011</t>
        </is>
      </c>
      <c r="B9" s="5" t="inlineStr">
        <is>
          <t>Douala, Cameroun</t>
        </is>
      </c>
      <c r="C9" s="5" t="inlineStr">
        <is>
          <t>Kits sanitaires + moustiquaires</t>
        </is>
      </c>
      <c r="D9" s="6" t="n">
        <v>46240</v>
      </c>
      <c r="E9" s="5" t="inlineStr">
        <is>
          <t>Autorisation d'importation</t>
        </is>
      </c>
      <c r="F9" s="5" t="inlineStr">
        <is>
          <t>Obtenu</t>
        </is>
      </c>
      <c r="G9" s="6" t="n">
        <v>46245</v>
      </c>
      <c r="H9" s="5" t="inlineStr">
        <is>
          <t>A. Mbeki (transitaire)</t>
        </is>
      </c>
      <c r="I9" s="7">
        <f>IF(OR(F9="Obtenu",F9="Non applicable",D9=""),"",TODAY()-D9)</f>
        <v/>
      </c>
      <c r="J9" s="7">
        <f>IF(AND(F9&lt;&gt;"Obtenu",F9&lt;&gt;"Non applicable",D9&lt;&gt;"",(TODAY()-D9)&gt;5),"RETARD","")</f>
        <v/>
      </c>
    </row>
    <row r="10">
      <c r="A10" s="5" t="inlineStr">
        <is>
          <t>TCD-2026-011</t>
        </is>
      </c>
      <c r="B10" s="5" t="inlineStr">
        <is>
          <t>Douala, Cameroun</t>
        </is>
      </c>
      <c r="C10" s="5" t="inlineStr">
        <is>
          <t>Kits sanitaires + moustiquaires</t>
        </is>
      </c>
      <c r="D10" s="6" t="n">
        <v>46240</v>
      </c>
      <c r="E10" s="5" t="inlineStr">
        <is>
          <t>Manifeste de cargaison</t>
        </is>
      </c>
      <c r="F10" s="5" t="inlineStr">
        <is>
          <t>Obtenu</t>
        </is>
      </c>
      <c r="G10" s="6" t="n">
        <v>46245</v>
      </c>
      <c r="H10" s="5" t="inlineStr">
        <is>
          <t>A. Mbeki (transitaire)</t>
        </is>
      </c>
      <c r="I10" s="7">
        <f>IF(OR(F10="Obtenu",F10="Non applicable",D10=""),"",TODAY()-D10)</f>
        <v/>
      </c>
      <c r="J10" s="7">
        <f>IF(AND(F10&lt;&gt;"Obtenu",F10&lt;&gt;"Non applicable",D10&lt;&gt;"",(TODAY()-D10)&gt;5),"RETARD","")</f>
        <v/>
      </c>
    </row>
    <row r="11">
      <c r="A11" s="5" t="inlineStr">
        <is>
          <t>TCD-2026-011</t>
        </is>
      </c>
      <c r="B11" s="5" t="inlineStr">
        <is>
          <t>Douala, Cameroun</t>
        </is>
      </c>
      <c r="C11" s="5" t="inlineStr">
        <is>
          <t>Kits sanitaires + moustiquaires</t>
        </is>
      </c>
      <c r="D11" s="6" t="n">
        <v>46240</v>
      </c>
      <c r="E11" s="5" t="inlineStr">
        <is>
          <t>Autorisation ministerielle complementaire (si applicable)</t>
        </is>
      </c>
      <c r="F11" s="5" t="inlineStr">
        <is>
          <t>Obtenu</t>
        </is>
      </c>
      <c r="G11" s="6" t="n">
        <v>46245</v>
      </c>
      <c r="H11" s="5" t="inlineStr">
        <is>
          <t>A. Mbeki (transitaire)</t>
        </is>
      </c>
      <c r="I11" s="7">
        <f>IF(OR(F11="Obtenu",F11="Non applicable",D11=""),"",TODAY()-D11)</f>
        <v/>
      </c>
      <c r="J11" s="7">
        <f>IF(AND(F11&lt;&gt;"Obtenu",F11&lt;&gt;"Non applicable",D11&lt;&gt;"",(TODAY()-D11)&gt;5),"RETARD","")</f>
        <v/>
      </c>
    </row>
    <row r="12">
      <c r="A12" s="5" t="inlineStr">
        <is>
          <t>TCD-2026-012</t>
        </is>
      </c>
      <c r="B12" s="5" t="inlineStr">
        <is>
          <t>Douala, Cameroun</t>
        </is>
      </c>
      <c r="C12" s="5" t="inlineStr">
        <is>
          <t>Vehicule de secours 4x4</t>
        </is>
      </c>
      <c r="D12" s="6" t="n">
        <v>46253</v>
      </c>
      <c r="E12" s="5" t="inlineStr">
        <is>
          <t>Facture commerciale</t>
        </is>
      </c>
      <c r="F12" s="5" t="inlineStr">
        <is>
          <t>Obtenu</t>
        </is>
      </c>
      <c r="G12" s="6" t="n">
        <v>46254</v>
      </c>
      <c r="H12" s="5" t="inlineStr">
        <is>
          <t>A. Mbeki (transitaire)</t>
        </is>
      </c>
      <c r="I12" s="7">
        <f>IF(OR(F12="Obtenu",F12="Non applicable",D12=""),"",TODAY()-D12)</f>
        <v/>
      </c>
      <c r="J12" s="7">
        <f>IF(AND(F12&lt;&gt;"Obtenu",F12&lt;&gt;"Non applicable",D12&lt;&gt;"",(TODAY()-D12)&gt;5),"RETARD","")</f>
        <v/>
      </c>
    </row>
    <row r="13">
      <c r="A13" s="5" t="inlineStr">
        <is>
          <t>TCD-2026-012</t>
        </is>
      </c>
      <c r="B13" s="5" t="inlineStr">
        <is>
          <t>Douala, Cameroun</t>
        </is>
      </c>
      <c r="C13" s="5" t="inlineStr">
        <is>
          <t>Vehicule de secours 4x4</t>
        </is>
      </c>
      <c r="D13" s="6" t="n">
        <v>46253</v>
      </c>
      <c r="E13" s="5" t="inlineStr">
        <is>
          <t>Liste de colisage (packing list)</t>
        </is>
      </c>
      <c r="F13" s="5" t="inlineStr">
        <is>
          <t>Obtenu</t>
        </is>
      </c>
      <c r="G13" s="6" t="n">
        <v>46254</v>
      </c>
      <c r="H13" s="5" t="inlineStr">
        <is>
          <t>A. Mbeki (transitaire)</t>
        </is>
      </c>
      <c r="I13" s="7">
        <f>IF(OR(F13="Obtenu",F13="Non applicable",D13=""),"",TODAY()-D13)</f>
        <v/>
      </c>
      <c r="J13" s="7">
        <f>IF(AND(F13&lt;&gt;"Obtenu",F13&lt;&gt;"Non applicable",D13&lt;&gt;"",(TODAY()-D13)&gt;5),"RETARD","")</f>
        <v/>
      </c>
    </row>
    <row r="14">
      <c r="A14" s="5" t="inlineStr">
        <is>
          <t>TCD-2026-012</t>
        </is>
      </c>
      <c r="B14" s="5" t="inlineStr">
        <is>
          <t>Douala, Cameroun</t>
        </is>
      </c>
      <c r="C14" s="5" t="inlineStr">
        <is>
          <t>Vehicule de secours 4x4</t>
        </is>
      </c>
      <c r="D14" s="6" t="n">
        <v>46253</v>
      </c>
      <c r="E14" s="5" t="inlineStr">
        <is>
          <t>Certificat d'origine</t>
        </is>
      </c>
      <c r="F14" s="5" t="inlineStr">
        <is>
          <t>Obtenu</t>
        </is>
      </c>
      <c r="G14" s="6" t="n">
        <v>46255</v>
      </c>
      <c r="H14" s="5" t="inlineStr">
        <is>
          <t>A. Mbeki (transitaire)</t>
        </is>
      </c>
      <c r="I14" s="7">
        <f>IF(OR(F14="Obtenu",F14="Non applicable",D14=""),"",TODAY()-D14)</f>
        <v/>
      </c>
      <c r="J14" s="7">
        <f>IF(AND(F14&lt;&gt;"Obtenu",F14&lt;&gt;"Non applicable",D14&lt;&gt;"",(TODAY()-D14)&gt;5),"RETARD","")</f>
        <v/>
      </c>
    </row>
    <row r="15">
      <c r="A15" s="5" t="inlineStr">
        <is>
          <t>TCD-2026-012</t>
        </is>
      </c>
      <c r="B15" s="5" t="inlineStr">
        <is>
          <t>Douala, Cameroun</t>
        </is>
      </c>
      <c r="C15" s="5" t="inlineStr">
        <is>
          <t>Vehicule de secours 4x4</t>
        </is>
      </c>
      <c r="D15" s="6" t="n">
        <v>46253</v>
      </c>
      <c r="E15" s="5" t="inlineStr">
        <is>
          <t>Demande d'exoneration douaniere</t>
        </is>
      </c>
      <c r="F15" s="5" t="inlineStr">
        <is>
          <t>Bloque</t>
        </is>
      </c>
      <c r="G15" s="6" t="n"/>
      <c r="H15" s="5" t="inlineStr">
        <is>
          <t>Point focal ONG</t>
        </is>
      </c>
      <c r="I15" s="7">
        <f>IF(OR(F15="Obtenu",F15="Non applicable",D15=""),"",TODAY()-D15)</f>
        <v/>
      </c>
      <c r="J15" s="7">
        <f>IF(AND(F15&lt;&gt;"Obtenu",F15&lt;&gt;"Non applicable",D15&lt;&gt;"",(TODAY()-D15)&gt;5),"RETARD","")</f>
        <v/>
      </c>
    </row>
    <row r="16">
      <c r="A16" s="5" t="inlineStr">
        <is>
          <t>TCD-2026-012</t>
        </is>
      </c>
      <c r="B16" s="5" t="inlineStr">
        <is>
          <t>Douala, Cameroun</t>
        </is>
      </c>
      <c r="C16" s="5" t="inlineStr">
        <is>
          <t>Vehicule de secours 4x4</t>
        </is>
      </c>
      <c r="D16" s="6" t="n">
        <v>46253</v>
      </c>
      <c r="E16" s="5" t="inlineStr">
        <is>
          <t>Autorisation d'importation</t>
        </is>
      </c>
      <c r="F16" s="5" t="inlineStr">
        <is>
          <t>En attente</t>
        </is>
      </c>
      <c r="G16" s="6" t="n"/>
      <c r="H16" s="5" t="inlineStr">
        <is>
          <t>Ministere des Transports</t>
        </is>
      </c>
      <c r="I16" s="7">
        <f>IF(OR(F16="Obtenu",F16="Non applicable",D16=""),"",TODAY()-D16)</f>
        <v/>
      </c>
      <c r="J16" s="7">
        <f>IF(AND(F16&lt;&gt;"Obtenu",F16&lt;&gt;"Non applicable",D16&lt;&gt;"",(TODAY()-D16)&gt;5),"RETARD","")</f>
        <v/>
      </c>
    </row>
    <row r="17">
      <c r="A17" s="5" t="inlineStr">
        <is>
          <t>TCD-2026-012</t>
        </is>
      </c>
      <c r="B17" s="5" t="inlineStr">
        <is>
          <t>Douala, Cameroun</t>
        </is>
      </c>
      <c r="C17" s="5" t="inlineStr">
        <is>
          <t>Vehicule de secours 4x4</t>
        </is>
      </c>
      <c r="D17" s="6" t="n">
        <v>46253</v>
      </c>
      <c r="E17" s="5" t="inlineStr">
        <is>
          <t>Manifeste de cargaison</t>
        </is>
      </c>
      <c r="F17" s="5" t="inlineStr">
        <is>
          <t>Obtenu</t>
        </is>
      </c>
      <c r="G17" s="6" t="n">
        <v>46256</v>
      </c>
      <c r="H17" s="5" t="inlineStr">
        <is>
          <t>A. Mbeki (transitaire)</t>
        </is>
      </c>
      <c r="I17" s="7">
        <f>IF(OR(F17="Obtenu",F17="Non applicable",D17=""),"",TODAY()-D17)</f>
        <v/>
      </c>
      <c r="J17" s="7">
        <f>IF(AND(F17&lt;&gt;"Obtenu",F17&lt;&gt;"Non applicable",D17&lt;&gt;"",(TODAY()-D17)&gt;5),"RETARD","")</f>
        <v/>
      </c>
    </row>
    <row r="18">
      <c r="A18" s="5" t="inlineStr">
        <is>
          <t>TCD-2026-012</t>
        </is>
      </c>
      <c r="B18" s="5" t="inlineStr">
        <is>
          <t>Douala, Cameroun</t>
        </is>
      </c>
      <c r="C18" s="5" t="inlineStr">
        <is>
          <t>Vehicule de secours 4x4</t>
        </is>
      </c>
      <c r="D18" s="6" t="n">
        <v>46253</v>
      </c>
      <c r="E18" s="5" t="inlineStr">
        <is>
          <t>Autorisation ministerielle complementaire (si applicable)</t>
        </is>
      </c>
      <c r="F18" s="5" t="inlineStr">
        <is>
          <t>Non applicable</t>
        </is>
      </c>
      <c r="G18" s="6" t="n"/>
      <c r="H18" s="5" t="inlineStr"/>
      <c r="I18" s="7">
        <f>IF(OR(F18="Obtenu",F18="Non applicable",D18=""),"",TODAY()-D18)</f>
        <v/>
      </c>
      <c r="J18" s="7">
        <f>IF(AND(F18&lt;&gt;"Obtenu",F18&lt;&gt;"Non applicable",D18&lt;&gt;"",(TODAY()-D18)&gt;5),"RETARD","")</f>
        <v/>
      </c>
    </row>
    <row r="19">
      <c r="A19" s="5" t="inlineStr">
        <is>
          <t>TCD-2026-014</t>
        </is>
      </c>
      <c r="B19" s="5" t="inlineStr">
        <is>
          <t>Douala, Cameroun</t>
        </is>
      </c>
      <c r="C19" s="5" t="inlineStr">
        <is>
          <t>Concentrateurs oxygene + kits chirurgicaux + glaciere solaire</t>
        </is>
      </c>
      <c r="D19" s="6" t="n">
        <v>46261</v>
      </c>
      <c r="E19" s="5" t="inlineStr">
        <is>
          <t>Facture commerciale</t>
        </is>
      </c>
      <c r="F19" s="5" t="inlineStr">
        <is>
          <t>Obtenu</t>
        </is>
      </c>
      <c r="G19" s="6" t="n">
        <v>46261</v>
      </c>
      <c r="H19" s="5" t="inlineStr">
        <is>
          <t>A. Mbeki (transitaire)</t>
        </is>
      </c>
      <c r="I19" s="7">
        <f>IF(OR(F19="Obtenu",F19="Non applicable",D19=""),"",TODAY()-D19)</f>
        <v/>
      </c>
      <c r="J19" s="7">
        <f>IF(AND(F19&lt;&gt;"Obtenu",F19&lt;&gt;"Non applicable",D19&lt;&gt;"",(TODAY()-D19)&gt;5),"RETARD","")</f>
        <v/>
      </c>
    </row>
    <row r="20">
      <c r="A20" s="5" t="inlineStr">
        <is>
          <t>TCD-2026-014</t>
        </is>
      </c>
      <c r="B20" s="5" t="inlineStr">
        <is>
          <t>Douala, Cameroun</t>
        </is>
      </c>
      <c r="C20" s="5" t="inlineStr">
        <is>
          <t>Concentrateurs oxygene + kits chirurgicaux + glaciere solaire</t>
        </is>
      </c>
      <c r="D20" s="6" t="n">
        <v>46261</v>
      </c>
      <c r="E20" s="5" t="inlineStr">
        <is>
          <t>Liste de colisage (packing list)</t>
        </is>
      </c>
      <c r="F20" s="5" t="inlineStr">
        <is>
          <t>Obtenu</t>
        </is>
      </c>
      <c r="G20" s="6" t="n">
        <v>46261</v>
      </c>
      <c r="H20" s="5" t="inlineStr">
        <is>
          <t>A. Mbeki (transitaire)</t>
        </is>
      </c>
      <c r="I20" s="7">
        <f>IF(OR(F20="Obtenu",F20="Non applicable",D20=""),"",TODAY()-D20)</f>
        <v/>
      </c>
      <c r="J20" s="7">
        <f>IF(AND(F20&lt;&gt;"Obtenu",F20&lt;&gt;"Non applicable",D20&lt;&gt;"",(TODAY()-D20)&gt;5),"RETARD","")</f>
        <v/>
      </c>
    </row>
    <row r="21">
      <c r="A21" s="5" t="inlineStr">
        <is>
          <t>TCD-2026-014</t>
        </is>
      </c>
      <c r="B21" s="5" t="inlineStr">
        <is>
          <t>Douala, Cameroun</t>
        </is>
      </c>
      <c r="C21" s="5" t="inlineStr">
        <is>
          <t>Concentrateurs oxygene + kits chirurgicaux + glaciere solaire</t>
        </is>
      </c>
      <c r="D21" s="6" t="n">
        <v>46261</v>
      </c>
      <c r="E21" s="5" t="inlineStr">
        <is>
          <t>Certificat d'origine</t>
        </is>
      </c>
      <c r="F21" s="5" t="inlineStr">
        <is>
          <t>Obtenu</t>
        </is>
      </c>
      <c r="G21" s="6" t="n">
        <v>46262</v>
      </c>
      <c r="H21" s="5" t="inlineStr">
        <is>
          <t>A. Mbeki (transitaire)</t>
        </is>
      </c>
      <c r="I21" s="7">
        <f>IF(OR(F21="Obtenu",F21="Non applicable",D21=""),"",TODAY()-D21)</f>
        <v/>
      </c>
      <c r="J21" s="7">
        <f>IF(AND(F21&lt;&gt;"Obtenu",F21&lt;&gt;"Non applicable",D21&lt;&gt;"",(TODAY()-D21)&gt;5),"RETARD","")</f>
        <v/>
      </c>
    </row>
    <row r="22">
      <c r="A22" s="5" t="inlineStr">
        <is>
          <t>TCD-2026-014</t>
        </is>
      </c>
      <c r="B22" s="5" t="inlineStr">
        <is>
          <t>Douala, Cameroun</t>
        </is>
      </c>
      <c r="C22" s="5" t="inlineStr">
        <is>
          <t>Concentrateurs oxygene + kits chirurgicaux + glaciere solaire</t>
        </is>
      </c>
      <c r="D22" s="6" t="n">
        <v>46261</v>
      </c>
      <c r="E22" s="5" t="inlineStr">
        <is>
          <t>Demande d'exoneration douaniere</t>
        </is>
      </c>
      <c r="F22" s="5" t="inlineStr">
        <is>
          <t>Bloque</t>
        </is>
      </c>
      <c r="G22" s="6" t="n"/>
      <c r="H22" s="5" t="inlineStr">
        <is>
          <t>Douane - code HS a corriger</t>
        </is>
      </c>
      <c r="I22" s="7">
        <f>IF(OR(F22="Obtenu",F22="Non applicable",D22=""),"",TODAY()-D22)</f>
        <v/>
      </c>
      <c r="J22" s="7">
        <f>IF(AND(F22&lt;&gt;"Obtenu",F22&lt;&gt;"Non applicable",D22&lt;&gt;"",(TODAY()-D22)&gt;5),"RETARD","")</f>
        <v/>
      </c>
    </row>
    <row r="23">
      <c r="A23" s="5" t="inlineStr">
        <is>
          <t>TCD-2026-014</t>
        </is>
      </c>
      <c r="B23" s="5" t="inlineStr">
        <is>
          <t>Douala, Cameroun</t>
        </is>
      </c>
      <c r="C23" s="5" t="inlineStr">
        <is>
          <t>Concentrateurs oxygene + kits chirurgicaux + glaciere solaire</t>
        </is>
      </c>
      <c r="D23" s="6" t="n">
        <v>46261</v>
      </c>
      <c r="E23" s="5" t="inlineStr">
        <is>
          <t>Autorisation d'importation</t>
        </is>
      </c>
      <c r="F23" s="5" t="inlineStr">
        <is>
          <t>Obtenu</t>
        </is>
      </c>
      <c r="G23" s="6" t="n">
        <v>46262</v>
      </c>
      <c r="H23" s="5" t="inlineStr">
        <is>
          <t>A. Mbeki (transitaire)</t>
        </is>
      </c>
      <c r="I23" s="7">
        <f>IF(OR(F23="Obtenu",F23="Non applicable",D23=""),"",TODAY()-D23)</f>
        <v/>
      </c>
      <c r="J23" s="7">
        <f>IF(AND(F23&lt;&gt;"Obtenu",F23&lt;&gt;"Non applicable",D23&lt;&gt;"",(TODAY()-D23)&gt;5),"RETARD","")</f>
        <v/>
      </c>
    </row>
    <row r="24">
      <c r="A24" s="5" t="inlineStr">
        <is>
          <t>TCD-2026-014</t>
        </is>
      </c>
      <c r="B24" s="5" t="inlineStr">
        <is>
          <t>Douala, Cameroun</t>
        </is>
      </c>
      <c r="C24" s="5" t="inlineStr">
        <is>
          <t>Concentrateurs oxygene + kits chirurgicaux + glaciere solaire</t>
        </is>
      </c>
      <c r="D24" s="6" t="n">
        <v>46261</v>
      </c>
      <c r="E24" s="5" t="inlineStr">
        <is>
          <t>Manifeste de cargaison</t>
        </is>
      </c>
      <c r="F24" s="5" t="inlineStr">
        <is>
          <t>Obtenu</t>
        </is>
      </c>
      <c r="G24" s="6" t="n">
        <v>46262</v>
      </c>
      <c r="H24" s="5" t="inlineStr">
        <is>
          <t>A. Mbeki (transitaire)</t>
        </is>
      </c>
      <c r="I24" s="7">
        <f>IF(OR(F24="Obtenu",F24="Non applicable",D24=""),"",TODAY()-D24)</f>
        <v/>
      </c>
      <c r="J24" s="7">
        <f>IF(AND(F24&lt;&gt;"Obtenu",F24&lt;&gt;"Non applicable",D24&lt;&gt;"",(TODAY()-D24)&gt;5),"RETARD","")</f>
        <v/>
      </c>
    </row>
    <row r="25">
      <c r="A25" s="5" t="inlineStr">
        <is>
          <t>TCD-2026-014</t>
        </is>
      </c>
      <c r="B25" s="5" t="inlineStr">
        <is>
          <t>Douala, Cameroun</t>
        </is>
      </c>
      <c r="C25" s="5" t="inlineStr">
        <is>
          <t>Concentrateurs oxygene + kits chirurgicaux + glaciere solaire</t>
        </is>
      </c>
      <c r="D25" s="6" t="n">
        <v>46261</v>
      </c>
      <c r="E25" s="5" t="inlineStr">
        <is>
          <t>Autorisation ministerielle complementaire (si applicable)</t>
        </is>
      </c>
      <c r="F25" s="5" t="inlineStr">
        <is>
          <t>En attente</t>
        </is>
      </c>
      <c r="G25" s="6" t="n"/>
      <c r="H25" s="5" t="inlineStr">
        <is>
          <t>Ministere de la Sante</t>
        </is>
      </c>
      <c r="I25" s="7">
        <f>IF(OR(F25="Obtenu",F25="Non applicable",D25=""),"",TODAY()-D25)</f>
        <v/>
      </c>
      <c r="J25" s="7">
        <f>IF(AND(F25&lt;&gt;"Obtenu",F25&lt;&gt;"Non applicable",D25&lt;&gt;"",(TODAY()-D25)&gt;5),"RETARD","")</f>
        <v/>
      </c>
    </row>
    <row r="26">
      <c r="A26" s="5" t="inlineStr">
        <is>
          <t>A COMPLETER</t>
        </is>
      </c>
      <c r="B26" s="5" t="inlineStr"/>
      <c r="C26" s="5" t="inlineStr"/>
      <c r="D26" s="6" t="n"/>
      <c r="E26" s="5" t="inlineStr">
        <is>
          <t>Facture commerciale</t>
        </is>
      </c>
      <c r="F26" s="5" t="inlineStr">
        <is>
          <t>En attente</t>
        </is>
      </c>
      <c r="G26" s="6" t="n"/>
      <c r="H26" s="5" t="inlineStr"/>
      <c r="I26" s="7">
        <f>IF(OR(F26="Obtenu",F26="Non applicable",D26=""),"",TODAY()-D26)</f>
        <v/>
      </c>
      <c r="J26" s="7">
        <f>IF(AND(F26&lt;&gt;"Obtenu",F26&lt;&gt;"Non applicable",D26&lt;&gt;"",(TODAY()-D26)&gt;5),"RETARD","")</f>
        <v/>
      </c>
    </row>
    <row r="27">
      <c r="A27" s="5" t="inlineStr">
        <is>
          <t>A COMPLETER</t>
        </is>
      </c>
      <c r="B27" s="5" t="inlineStr"/>
      <c r="C27" s="5" t="inlineStr"/>
      <c r="D27" s="6" t="n"/>
      <c r="E27" s="5" t="inlineStr">
        <is>
          <t>Liste de colisage (packing list)</t>
        </is>
      </c>
      <c r="F27" s="5" t="inlineStr">
        <is>
          <t>En attente</t>
        </is>
      </c>
      <c r="G27" s="6" t="n"/>
      <c r="H27" s="5" t="inlineStr"/>
      <c r="I27" s="7">
        <f>IF(OR(F27="Obtenu",F27="Non applicable",D27=""),"",TODAY()-D27)</f>
        <v/>
      </c>
      <c r="J27" s="7">
        <f>IF(AND(F27&lt;&gt;"Obtenu",F27&lt;&gt;"Non applicable",D27&lt;&gt;"",(TODAY()-D27)&gt;5),"RETARD","")</f>
        <v/>
      </c>
    </row>
    <row r="28">
      <c r="A28" s="5" t="inlineStr">
        <is>
          <t>A COMPLETER</t>
        </is>
      </c>
      <c r="B28" s="5" t="inlineStr"/>
      <c r="C28" s="5" t="inlineStr"/>
      <c r="D28" s="6" t="n"/>
      <c r="E28" s="5" t="inlineStr">
        <is>
          <t>Certificat d'origine</t>
        </is>
      </c>
      <c r="F28" s="5" t="inlineStr">
        <is>
          <t>En attente</t>
        </is>
      </c>
      <c r="G28" s="6" t="n"/>
      <c r="H28" s="5" t="inlineStr"/>
      <c r="I28" s="7">
        <f>IF(OR(F28="Obtenu",F28="Non applicable",D28=""),"",TODAY()-D28)</f>
        <v/>
      </c>
      <c r="J28" s="7">
        <f>IF(AND(F28&lt;&gt;"Obtenu",F28&lt;&gt;"Non applicable",D28&lt;&gt;"",(TODAY()-D28)&gt;5),"RETARD","")</f>
        <v/>
      </c>
    </row>
    <row r="29">
      <c r="A29" s="5" t="inlineStr">
        <is>
          <t>A COMPLETER</t>
        </is>
      </c>
      <c r="B29" s="5" t="inlineStr"/>
      <c r="C29" s="5" t="inlineStr"/>
      <c r="D29" s="6" t="n"/>
      <c r="E29" s="5" t="inlineStr">
        <is>
          <t>Demande d'exoneration douaniere</t>
        </is>
      </c>
      <c r="F29" s="5" t="inlineStr">
        <is>
          <t>En attente</t>
        </is>
      </c>
      <c r="G29" s="6" t="n"/>
      <c r="H29" s="5" t="inlineStr"/>
      <c r="I29" s="7">
        <f>IF(OR(F29="Obtenu",F29="Non applicable",D29=""),"",TODAY()-D29)</f>
        <v/>
      </c>
      <c r="J29" s="7">
        <f>IF(AND(F29&lt;&gt;"Obtenu",F29&lt;&gt;"Non applicable",D29&lt;&gt;"",(TODAY()-D29)&gt;5),"RETARD","")</f>
        <v/>
      </c>
    </row>
    <row r="30">
      <c r="A30" s="5" t="inlineStr">
        <is>
          <t>A COMPLETER</t>
        </is>
      </c>
      <c r="B30" s="5" t="inlineStr"/>
      <c r="C30" s="5" t="inlineStr"/>
      <c r="D30" s="6" t="n"/>
      <c r="E30" s="5" t="inlineStr">
        <is>
          <t>Autorisation d'importation</t>
        </is>
      </c>
      <c r="F30" s="5" t="inlineStr">
        <is>
          <t>En attente</t>
        </is>
      </c>
      <c r="G30" s="6" t="n"/>
      <c r="H30" s="5" t="inlineStr"/>
      <c r="I30" s="7">
        <f>IF(OR(F30="Obtenu",F30="Non applicable",D30=""),"",TODAY()-D30)</f>
        <v/>
      </c>
      <c r="J30" s="7">
        <f>IF(AND(F30&lt;&gt;"Obtenu",F30&lt;&gt;"Non applicable",D30&lt;&gt;"",(TODAY()-D30)&gt;5),"RETARD","")</f>
        <v/>
      </c>
    </row>
    <row r="31">
      <c r="A31" s="5" t="inlineStr">
        <is>
          <t>A COMPLETER</t>
        </is>
      </c>
      <c r="B31" s="5" t="inlineStr"/>
      <c r="C31" s="5" t="inlineStr"/>
      <c r="D31" s="6" t="n"/>
      <c r="E31" s="5" t="inlineStr">
        <is>
          <t>Manifeste de cargaison</t>
        </is>
      </c>
      <c r="F31" s="5" t="inlineStr">
        <is>
          <t>En attente</t>
        </is>
      </c>
      <c r="G31" s="6" t="n"/>
      <c r="H31" s="5" t="inlineStr"/>
      <c r="I31" s="7">
        <f>IF(OR(F31="Obtenu",F31="Non applicable",D31=""),"",TODAY()-D31)</f>
        <v/>
      </c>
      <c r="J31" s="7">
        <f>IF(AND(F31&lt;&gt;"Obtenu",F31&lt;&gt;"Non applicable",D31&lt;&gt;"",(TODAY()-D31)&gt;5),"RETARD","")</f>
        <v/>
      </c>
    </row>
    <row r="32">
      <c r="A32" s="5" t="inlineStr">
        <is>
          <t>A COMPLETER</t>
        </is>
      </c>
      <c r="B32" s="5" t="inlineStr"/>
      <c r="C32" s="5" t="inlineStr"/>
      <c r="D32" s="6" t="n"/>
      <c r="E32" s="5" t="inlineStr">
        <is>
          <t>Autorisation ministerielle complementaire (si applicable)</t>
        </is>
      </c>
      <c r="F32" s="5" t="inlineStr">
        <is>
          <t>En attente</t>
        </is>
      </c>
      <c r="G32" s="6" t="n"/>
      <c r="H32" s="5" t="inlineStr"/>
      <c r="I32" s="7">
        <f>IF(OR(F32="Obtenu",F32="Non applicable",D32=""),"",TODAY()-D32)</f>
        <v/>
      </c>
      <c r="J32" s="7">
        <f>IF(AND(F32&lt;&gt;"Obtenu",F32&lt;&gt;"Non applicable",D32&lt;&gt;"",(TODAY()-D32)&gt;5),"RETARD","")</f>
        <v/>
      </c>
    </row>
    <row r="33">
      <c r="A33" s="5" t="n"/>
      <c r="B33" s="5" t="n"/>
      <c r="C33" s="5" t="n"/>
      <c r="D33" s="6" t="n"/>
      <c r="E33" s="5" t="inlineStr">
        <is>
          <t>Facture commerciale</t>
        </is>
      </c>
      <c r="F33" s="5" t="inlineStr">
        <is>
          <t>En attente</t>
        </is>
      </c>
      <c r="G33" s="6" t="n"/>
      <c r="H33" s="5" t="n"/>
      <c r="I33" s="5">
        <f>IF(OR(F33="Obtenu",F33="Non applicable",D33=""),"",TODAY()-D33)</f>
        <v/>
      </c>
      <c r="J33" s="5">
        <f>IF(AND(F33&lt;&gt;"Obtenu",F33&lt;&gt;"Non applicable",D33&lt;&gt;"",(TODAY()-D33)&gt;5),"RETARD","")</f>
        <v/>
      </c>
    </row>
    <row r="34">
      <c r="A34" s="5" t="n"/>
      <c r="B34" s="5" t="n"/>
      <c r="C34" s="5" t="n"/>
      <c r="D34" s="6" t="n"/>
      <c r="E34" s="5" t="inlineStr">
        <is>
          <t>Liste de colisage (packing list)</t>
        </is>
      </c>
      <c r="F34" s="5" t="inlineStr">
        <is>
          <t>En attente</t>
        </is>
      </c>
      <c r="G34" s="6" t="n"/>
      <c r="H34" s="5" t="n"/>
      <c r="I34" s="5">
        <f>IF(OR(F34="Obtenu",F34="Non applicable",D34=""),"",TODAY()-D34)</f>
        <v/>
      </c>
      <c r="J34" s="5">
        <f>IF(AND(F34&lt;&gt;"Obtenu",F34&lt;&gt;"Non applicable",D34&lt;&gt;"",(TODAY()-D34)&gt;5),"RETARD","")</f>
        <v/>
      </c>
    </row>
    <row r="35">
      <c r="A35" s="5" t="n"/>
      <c r="B35" s="5" t="n"/>
      <c r="C35" s="5" t="n"/>
      <c r="D35" s="6" t="n"/>
      <c r="E35" s="5" t="inlineStr">
        <is>
          <t>Certificat d'origine</t>
        </is>
      </c>
      <c r="F35" s="5" t="inlineStr">
        <is>
          <t>En attente</t>
        </is>
      </c>
      <c r="G35" s="6" t="n"/>
      <c r="H35" s="5" t="n"/>
      <c r="I35" s="5">
        <f>IF(OR(F35="Obtenu",F35="Non applicable",D35=""),"",TODAY()-D35)</f>
        <v/>
      </c>
      <c r="J35" s="5">
        <f>IF(AND(F35&lt;&gt;"Obtenu",F35&lt;&gt;"Non applicable",D35&lt;&gt;"",(TODAY()-D35)&gt;5),"RETARD","")</f>
        <v/>
      </c>
    </row>
    <row r="36">
      <c r="A36" s="5" t="n"/>
      <c r="B36" s="5" t="n"/>
      <c r="C36" s="5" t="n"/>
      <c r="D36" s="6" t="n"/>
      <c r="E36" s="5" t="inlineStr">
        <is>
          <t>Demande d'exoneration douaniere</t>
        </is>
      </c>
      <c r="F36" s="5" t="inlineStr">
        <is>
          <t>En attente</t>
        </is>
      </c>
      <c r="G36" s="6" t="n"/>
      <c r="H36" s="5" t="n"/>
      <c r="I36" s="5">
        <f>IF(OR(F36="Obtenu",F36="Non applicable",D36=""),"",TODAY()-D36)</f>
        <v/>
      </c>
      <c r="J36" s="5">
        <f>IF(AND(F36&lt;&gt;"Obtenu",F36&lt;&gt;"Non applicable",D36&lt;&gt;"",(TODAY()-D36)&gt;5),"RETARD","")</f>
        <v/>
      </c>
    </row>
    <row r="37">
      <c r="A37" s="5" t="n"/>
      <c r="B37" s="5" t="n"/>
      <c r="C37" s="5" t="n"/>
      <c r="D37" s="6" t="n"/>
      <c r="E37" s="5" t="inlineStr">
        <is>
          <t>Autorisation d'importation</t>
        </is>
      </c>
      <c r="F37" s="5" t="inlineStr">
        <is>
          <t>En attente</t>
        </is>
      </c>
      <c r="G37" s="6" t="n"/>
      <c r="H37" s="5" t="n"/>
      <c r="I37" s="5">
        <f>IF(OR(F37="Obtenu",F37="Non applicable",D37=""),"",TODAY()-D37)</f>
        <v/>
      </c>
      <c r="J37" s="5">
        <f>IF(AND(F37&lt;&gt;"Obtenu",F37&lt;&gt;"Non applicable",D37&lt;&gt;"",(TODAY()-D37)&gt;5),"RETARD","")</f>
        <v/>
      </c>
    </row>
    <row r="38">
      <c r="A38" s="5" t="n"/>
      <c r="B38" s="5" t="n"/>
      <c r="C38" s="5" t="n"/>
      <c r="D38" s="6" t="n"/>
      <c r="E38" s="5" t="inlineStr">
        <is>
          <t>Manifeste de cargaison</t>
        </is>
      </c>
      <c r="F38" s="5" t="inlineStr">
        <is>
          <t>En attente</t>
        </is>
      </c>
      <c r="G38" s="6" t="n"/>
      <c r="H38" s="5" t="n"/>
      <c r="I38" s="5">
        <f>IF(OR(F38="Obtenu",F38="Non applicable",D38=""),"",TODAY()-D38)</f>
        <v/>
      </c>
      <c r="J38" s="5">
        <f>IF(AND(F38&lt;&gt;"Obtenu",F38&lt;&gt;"Non applicable",D38&lt;&gt;"",(TODAY()-D38)&gt;5),"RETARD","")</f>
        <v/>
      </c>
    </row>
    <row r="39">
      <c r="A39" s="5" t="n"/>
      <c r="B39" s="5" t="n"/>
      <c r="C39" s="5" t="n"/>
      <c r="D39" s="6" t="n"/>
      <c r="E39" s="5" t="inlineStr">
        <is>
          <t>Autorisation ministerielle complementaire (si applicable)</t>
        </is>
      </c>
      <c r="F39" s="5" t="inlineStr">
        <is>
          <t>En attente</t>
        </is>
      </c>
      <c r="G39" s="6" t="n"/>
      <c r="H39" s="5" t="n"/>
      <c r="I39" s="5">
        <f>IF(OR(F39="Obtenu",F39="Non applicable",D39=""),"",TODAY()-D39)</f>
        <v/>
      </c>
      <c r="J39" s="5">
        <f>IF(AND(F39&lt;&gt;"Obtenu",F39&lt;&gt;"Non applicable",D39&lt;&gt;"",(TODAY()-D39)&gt;5),"RETARD","")</f>
        <v/>
      </c>
    </row>
    <row r="40">
      <c r="A40" s="5" t="n"/>
      <c r="B40" s="5" t="n"/>
      <c r="C40" s="5" t="n"/>
      <c r="D40" s="6" t="n"/>
      <c r="E40" s="5" t="inlineStr">
        <is>
          <t>Facture commerciale</t>
        </is>
      </c>
      <c r="F40" s="5" t="inlineStr">
        <is>
          <t>En attente</t>
        </is>
      </c>
      <c r="G40" s="6" t="n"/>
      <c r="H40" s="5" t="n"/>
      <c r="I40" s="5">
        <f>IF(OR(F40="Obtenu",F40="Non applicable",D40=""),"",TODAY()-D40)</f>
        <v/>
      </c>
      <c r="J40" s="5">
        <f>IF(AND(F40&lt;&gt;"Obtenu",F40&lt;&gt;"Non applicable",D40&lt;&gt;"",(TODAY()-D40)&gt;5),"RETARD","")</f>
        <v/>
      </c>
    </row>
    <row r="41">
      <c r="A41" s="5" t="n"/>
      <c r="B41" s="5" t="n"/>
      <c r="C41" s="5" t="n"/>
      <c r="D41" s="6" t="n"/>
      <c r="E41" s="5" t="inlineStr">
        <is>
          <t>Liste de colisage (packing list)</t>
        </is>
      </c>
      <c r="F41" s="5" t="inlineStr">
        <is>
          <t>En attente</t>
        </is>
      </c>
      <c r="G41" s="6" t="n"/>
      <c r="H41" s="5" t="n"/>
      <c r="I41" s="5">
        <f>IF(OR(F41="Obtenu",F41="Non applicable",D41=""),"",TODAY()-D41)</f>
        <v/>
      </c>
      <c r="J41" s="5">
        <f>IF(AND(F41&lt;&gt;"Obtenu",F41&lt;&gt;"Non applicable",D41&lt;&gt;"",(TODAY()-D41)&gt;5),"RETARD","")</f>
        <v/>
      </c>
    </row>
    <row r="42">
      <c r="A42" s="5" t="n"/>
      <c r="B42" s="5" t="n"/>
      <c r="C42" s="5" t="n"/>
      <c r="D42" s="6" t="n"/>
      <c r="E42" s="5" t="inlineStr">
        <is>
          <t>Certificat d'origine</t>
        </is>
      </c>
      <c r="F42" s="5" t="inlineStr">
        <is>
          <t>En attente</t>
        </is>
      </c>
      <c r="G42" s="6" t="n"/>
      <c r="H42" s="5" t="n"/>
      <c r="I42" s="5">
        <f>IF(OR(F42="Obtenu",F42="Non applicable",D42=""),"",TODAY()-D42)</f>
        <v/>
      </c>
      <c r="J42" s="5">
        <f>IF(AND(F42&lt;&gt;"Obtenu",F42&lt;&gt;"Non applicable",D42&lt;&gt;"",(TODAY()-D42)&gt;5),"RETARD","")</f>
        <v/>
      </c>
    </row>
    <row r="43">
      <c r="A43" s="5" t="n"/>
      <c r="B43" s="5" t="n"/>
      <c r="C43" s="5" t="n"/>
      <c r="D43" s="6" t="n"/>
      <c r="E43" s="5" t="inlineStr">
        <is>
          <t>Demande d'exoneration douaniere</t>
        </is>
      </c>
      <c r="F43" s="5" t="inlineStr">
        <is>
          <t>En attente</t>
        </is>
      </c>
      <c r="G43" s="6" t="n"/>
      <c r="H43" s="5" t="n"/>
      <c r="I43" s="5">
        <f>IF(OR(F43="Obtenu",F43="Non applicable",D43=""),"",TODAY()-D43)</f>
        <v/>
      </c>
      <c r="J43" s="5">
        <f>IF(AND(F43&lt;&gt;"Obtenu",F43&lt;&gt;"Non applicable",D43&lt;&gt;"",(TODAY()-D43)&gt;5),"RETARD","")</f>
        <v/>
      </c>
    </row>
    <row r="44">
      <c r="A44" s="5" t="n"/>
      <c r="B44" s="5" t="n"/>
      <c r="C44" s="5" t="n"/>
      <c r="D44" s="6" t="n"/>
      <c r="E44" s="5" t="inlineStr">
        <is>
          <t>Autorisation d'importation</t>
        </is>
      </c>
      <c r="F44" s="5" t="inlineStr">
        <is>
          <t>En attente</t>
        </is>
      </c>
      <c r="G44" s="6" t="n"/>
      <c r="H44" s="5" t="n"/>
      <c r="I44" s="5">
        <f>IF(OR(F44="Obtenu",F44="Non applicable",D44=""),"",TODAY()-D44)</f>
        <v/>
      </c>
      <c r="J44" s="5">
        <f>IF(AND(F44&lt;&gt;"Obtenu",F44&lt;&gt;"Non applicable",D44&lt;&gt;"",(TODAY()-D44)&gt;5),"RETARD","")</f>
        <v/>
      </c>
    </row>
    <row r="45">
      <c r="A45" s="5" t="n"/>
      <c r="B45" s="5" t="n"/>
      <c r="C45" s="5" t="n"/>
      <c r="D45" s="6" t="n"/>
      <c r="E45" s="5" t="inlineStr">
        <is>
          <t>Manifeste de cargaison</t>
        </is>
      </c>
      <c r="F45" s="5" t="inlineStr">
        <is>
          <t>En attente</t>
        </is>
      </c>
      <c r="G45" s="6" t="n"/>
      <c r="H45" s="5" t="n"/>
      <c r="I45" s="5">
        <f>IF(OR(F45="Obtenu",F45="Non applicable",D45=""),"",TODAY()-D45)</f>
        <v/>
      </c>
      <c r="J45" s="5">
        <f>IF(AND(F45&lt;&gt;"Obtenu",F45&lt;&gt;"Non applicable",D45&lt;&gt;"",(TODAY()-D45)&gt;5),"RETARD","")</f>
        <v/>
      </c>
    </row>
    <row r="46">
      <c r="A46" s="5" t="n"/>
      <c r="B46" s="5" t="n"/>
      <c r="C46" s="5" t="n"/>
      <c r="D46" s="6" t="n"/>
      <c r="E46" s="5" t="inlineStr">
        <is>
          <t>Autorisation ministerielle complementaire (si applicable)</t>
        </is>
      </c>
      <c r="F46" s="5" t="inlineStr">
        <is>
          <t>En attente</t>
        </is>
      </c>
      <c r="G46" s="6" t="n"/>
      <c r="H46" s="5" t="n"/>
      <c r="I46" s="5">
        <f>IF(OR(F46="Obtenu",F46="Non applicable",D46=""),"",TODAY()-D46)</f>
        <v/>
      </c>
      <c r="J46" s="5">
        <f>IF(AND(F46&lt;&gt;"Obtenu",F46&lt;&gt;"Non applicable",D46&lt;&gt;"",(TODAY()-D46)&gt;5),"RETARD","")</f>
        <v/>
      </c>
    </row>
    <row r="47">
      <c r="A47" s="5" t="n"/>
      <c r="B47" s="5" t="n"/>
      <c r="C47" s="5" t="n"/>
      <c r="D47" s="6" t="n"/>
      <c r="E47" s="5" t="inlineStr">
        <is>
          <t>Facture commerciale</t>
        </is>
      </c>
      <c r="F47" s="5" t="inlineStr">
        <is>
          <t>En attente</t>
        </is>
      </c>
      <c r="G47" s="6" t="n"/>
      <c r="H47" s="5" t="n"/>
      <c r="I47" s="5">
        <f>IF(OR(F47="Obtenu",F47="Non applicable",D47=""),"",TODAY()-D47)</f>
        <v/>
      </c>
      <c r="J47" s="5">
        <f>IF(AND(F47&lt;&gt;"Obtenu",F47&lt;&gt;"Non applicable",D47&lt;&gt;"",(TODAY()-D47)&gt;5),"RETARD","")</f>
        <v/>
      </c>
    </row>
    <row r="48">
      <c r="A48" s="5" t="n"/>
      <c r="B48" s="5" t="n"/>
      <c r="C48" s="5" t="n"/>
      <c r="D48" s="6" t="n"/>
      <c r="E48" s="5" t="inlineStr">
        <is>
          <t>Liste de colisage (packing list)</t>
        </is>
      </c>
      <c r="F48" s="5" t="inlineStr">
        <is>
          <t>En attente</t>
        </is>
      </c>
      <c r="G48" s="6" t="n"/>
      <c r="H48" s="5" t="n"/>
      <c r="I48" s="5">
        <f>IF(OR(F48="Obtenu",F48="Non applicable",D48=""),"",TODAY()-D48)</f>
        <v/>
      </c>
      <c r="J48" s="5">
        <f>IF(AND(F48&lt;&gt;"Obtenu",F48&lt;&gt;"Non applicable",D48&lt;&gt;"",(TODAY()-D48)&gt;5),"RETARD","")</f>
        <v/>
      </c>
    </row>
    <row r="49">
      <c r="A49" s="5" t="n"/>
      <c r="B49" s="5" t="n"/>
      <c r="C49" s="5" t="n"/>
      <c r="D49" s="6" t="n"/>
      <c r="E49" s="5" t="inlineStr">
        <is>
          <t>Certificat d'origine</t>
        </is>
      </c>
      <c r="F49" s="5" t="inlineStr">
        <is>
          <t>En attente</t>
        </is>
      </c>
      <c r="G49" s="6" t="n"/>
      <c r="H49" s="5" t="n"/>
      <c r="I49" s="5">
        <f>IF(OR(F49="Obtenu",F49="Non applicable",D49=""),"",TODAY()-D49)</f>
        <v/>
      </c>
      <c r="J49" s="5">
        <f>IF(AND(F49&lt;&gt;"Obtenu",F49&lt;&gt;"Non applicable",D49&lt;&gt;"",(TODAY()-D49)&gt;5),"RETARD","")</f>
        <v/>
      </c>
    </row>
    <row r="50">
      <c r="A50" s="5" t="n"/>
      <c r="B50" s="5" t="n"/>
      <c r="C50" s="5" t="n"/>
      <c r="D50" s="6" t="n"/>
      <c r="E50" s="5" t="inlineStr">
        <is>
          <t>Demande d'exoneration douaniere</t>
        </is>
      </c>
      <c r="F50" s="5" t="inlineStr">
        <is>
          <t>En attente</t>
        </is>
      </c>
      <c r="G50" s="6" t="n"/>
      <c r="H50" s="5" t="n"/>
      <c r="I50" s="5">
        <f>IF(OR(F50="Obtenu",F50="Non applicable",D50=""),"",TODAY()-D50)</f>
        <v/>
      </c>
      <c r="J50" s="5">
        <f>IF(AND(F50&lt;&gt;"Obtenu",F50&lt;&gt;"Non applicable",D50&lt;&gt;"",(TODAY()-D50)&gt;5),"RETARD","")</f>
        <v/>
      </c>
    </row>
    <row r="51">
      <c r="A51" s="5" t="n"/>
      <c r="B51" s="5" t="n"/>
      <c r="C51" s="5" t="n"/>
      <c r="D51" s="6" t="n"/>
      <c r="E51" s="5" t="inlineStr">
        <is>
          <t>Autorisation d'importation</t>
        </is>
      </c>
      <c r="F51" s="5" t="inlineStr">
        <is>
          <t>En attente</t>
        </is>
      </c>
      <c r="G51" s="6" t="n"/>
      <c r="H51" s="5" t="n"/>
      <c r="I51" s="5">
        <f>IF(OR(F51="Obtenu",F51="Non applicable",D51=""),"",TODAY()-D51)</f>
        <v/>
      </c>
      <c r="J51" s="5">
        <f>IF(AND(F51&lt;&gt;"Obtenu",F51&lt;&gt;"Non applicable",D51&lt;&gt;"",(TODAY()-D51)&gt;5),"RETARD","")</f>
        <v/>
      </c>
    </row>
    <row r="52">
      <c r="A52" s="5" t="n"/>
      <c r="B52" s="5" t="n"/>
      <c r="C52" s="5" t="n"/>
      <c r="D52" s="6" t="n"/>
      <c r="E52" s="5" t="inlineStr">
        <is>
          <t>Manifeste de cargaison</t>
        </is>
      </c>
      <c r="F52" s="5" t="inlineStr">
        <is>
          <t>En attente</t>
        </is>
      </c>
      <c r="G52" s="6" t="n"/>
      <c r="H52" s="5" t="n"/>
      <c r="I52" s="5">
        <f>IF(OR(F52="Obtenu",F52="Non applicable",D52=""),"",TODAY()-D52)</f>
        <v/>
      </c>
      <c r="J52" s="5">
        <f>IF(AND(F52&lt;&gt;"Obtenu",F52&lt;&gt;"Non applicable",D52&lt;&gt;"",(TODAY()-D52)&gt;5),"RETARD","")</f>
        <v/>
      </c>
    </row>
    <row r="53">
      <c r="A53" s="5" t="n"/>
      <c r="B53" s="5" t="n"/>
      <c r="C53" s="5" t="n"/>
      <c r="D53" s="6" t="n"/>
      <c r="E53" s="5" t="inlineStr">
        <is>
          <t>Autorisation ministerielle complementaire (si applicable)</t>
        </is>
      </c>
      <c r="F53" s="5" t="inlineStr">
        <is>
          <t>En attente</t>
        </is>
      </c>
      <c r="G53" s="6" t="n"/>
      <c r="H53" s="5" t="n"/>
      <c r="I53" s="5">
        <f>IF(OR(F53="Obtenu",F53="Non applicable",D53=""),"",TODAY()-D53)</f>
        <v/>
      </c>
      <c r="J53" s="5">
        <f>IF(AND(F53&lt;&gt;"Obtenu",F53&lt;&gt;"Non applicable",D53&lt;&gt;"",(TODAY()-D53)&gt;5),"RETARD","")</f>
        <v/>
      </c>
    </row>
    <row r="54">
      <c r="A54" s="5" t="n"/>
      <c r="B54" s="5" t="n"/>
      <c r="C54" s="5" t="n"/>
      <c r="D54" s="6" t="n"/>
      <c r="E54" s="5" t="inlineStr">
        <is>
          <t>Facture commerciale</t>
        </is>
      </c>
      <c r="F54" s="5" t="inlineStr">
        <is>
          <t>En attente</t>
        </is>
      </c>
      <c r="G54" s="6" t="n"/>
      <c r="H54" s="5" t="n"/>
      <c r="I54" s="5">
        <f>IF(OR(F54="Obtenu",F54="Non applicable",D54=""),"",TODAY()-D54)</f>
        <v/>
      </c>
      <c r="J54" s="5">
        <f>IF(AND(F54&lt;&gt;"Obtenu",F54&lt;&gt;"Non applicable",D54&lt;&gt;"",(TODAY()-D54)&gt;5),"RETARD","")</f>
        <v/>
      </c>
    </row>
    <row r="55">
      <c r="A55" s="5" t="n"/>
      <c r="B55" s="5" t="n"/>
      <c r="C55" s="5" t="n"/>
      <c r="D55" s="6" t="n"/>
      <c r="E55" s="5" t="inlineStr">
        <is>
          <t>Liste de colisage (packing list)</t>
        </is>
      </c>
      <c r="F55" s="5" t="inlineStr">
        <is>
          <t>En attente</t>
        </is>
      </c>
      <c r="G55" s="6" t="n"/>
      <c r="H55" s="5" t="n"/>
      <c r="I55" s="5">
        <f>IF(OR(F55="Obtenu",F55="Non applicable",D55=""),"",TODAY()-D55)</f>
        <v/>
      </c>
      <c r="J55" s="5">
        <f>IF(AND(F55&lt;&gt;"Obtenu",F55&lt;&gt;"Non applicable",D55&lt;&gt;"",(TODAY()-D55)&gt;5),"RETARD","")</f>
        <v/>
      </c>
    </row>
    <row r="56">
      <c r="A56" s="5" t="n"/>
      <c r="B56" s="5" t="n"/>
      <c r="C56" s="5" t="n"/>
      <c r="D56" s="6" t="n"/>
      <c r="E56" s="5" t="inlineStr">
        <is>
          <t>Certificat d'origine</t>
        </is>
      </c>
      <c r="F56" s="5" t="inlineStr">
        <is>
          <t>En attente</t>
        </is>
      </c>
      <c r="G56" s="6" t="n"/>
      <c r="H56" s="5" t="n"/>
      <c r="I56" s="5">
        <f>IF(OR(F56="Obtenu",F56="Non applicable",D56=""),"",TODAY()-D56)</f>
        <v/>
      </c>
      <c r="J56" s="5">
        <f>IF(AND(F56&lt;&gt;"Obtenu",F56&lt;&gt;"Non applicable",D56&lt;&gt;"",(TODAY()-D56)&gt;5),"RETARD","")</f>
        <v/>
      </c>
    </row>
    <row r="57">
      <c r="A57" s="5" t="n"/>
      <c r="B57" s="5" t="n"/>
      <c r="C57" s="5" t="n"/>
      <c r="D57" s="6" t="n"/>
      <c r="E57" s="5" t="inlineStr">
        <is>
          <t>Demande d'exoneration douaniere</t>
        </is>
      </c>
      <c r="F57" s="5" t="inlineStr">
        <is>
          <t>En attente</t>
        </is>
      </c>
      <c r="G57" s="6" t="n"/>
      <c r="H57" s="5" t="n"/>
      <c r="I57" s="5">
        <f>IF(OR(F57="Obtenu",F57="Non applicable",D57=""),"",TODAY()-D57)</f>
        <v/>
      </c>
      <c r="J57" s="5">
        <f>IF(AND(F57&lt;&gt;"Obtenu",F57&lt;&gt;"Non applicable",D57&lt;&gt;"",(TODAY()-D57)&gt;5),"RETARD","")</f>
        <v/>
      </c>
    </row>
    <row r="58">
      <c r="A58" s="5" t="n"/>
      <c r="B58" s="5" t="n"/>
      <c r="C58" s="5" t="n"/>
      <c r="D58" s="6" t="n"/>
      <c r="E58" s="5" t="inlineStr">
        <is>
          <t>Autorisation d'importation</t>
        </is>
      </c>
      <c r="F58" s="5" t="inlineStr">
        <is>
          <t>En attente</t>
        </is>
      </c>
      <c r="G58" s="6" t="n"/>
      <c r="H58" s="5" t="n"/>
      <c r="I58" s="5">
        <f>IF(OR(F58="Obtenu",F58="Non applicable",D58=""),"",TODAY()-D58)</f>
        <v/>
      </c>
      <c r="J58" s="5">
        <f>IF(AND(F58&lt;&gt;"Obtenu",F58&lt;&gt;"Non applicable",D58&lt;&gt;"",(TODAY()-D58)&gt;5),"RETARD","")</f>
        <v/>
      </c>
    </row>
    <row r="59">
      <c r="A59" s="5" t="n"/>
      <c r="B59" s="5" t="n"/>
      <c r="C59" s="5" t="n"/>
      <c r="D59" s="6" t="n"/>
      <c r="E59" s="5" t="inlineStr">
        <is>
          <t>Manifeste de cargaison</t>
        </is>
      </c>
      <c r="F59" s="5" t="inlineStr">
        <is>
          <t>En attente</t>
        </is>
      </c>
      <c r="G59" s="6" t="n"/>
      <c r="H59" s="5" t="n"/>
      <c r="I59" s="5">
        <f>IF(OR(F59="Obtenu",F59="Non applicable",D59=""),"",TODAY()-D59)</f>
        <v/>
      </c>
      <c r="J59" s="5">
        <f>IF(AND(F59&lt;&gt;"Obtenu",F59&lt;&gt;"Non applicable",D59&lt;&gt;"",(TODAY()-D59)&gt;5),"RETARD","")</f>
        <v/>
      </c>
    </row>
    <row r="60">
      <c r="A60" s="5" t="n"/>
      <c r="B60" s="5" t="n"/>
      <c r="C60" s="5" t="n"/>
      <c r="D60" s="6" t="n"/>
      <c r="E60" s="5" t="inlineStr">
        <is>
          <t>Autorisation ministerielle complementaire (si applicable)</t>
        </is>
      </c>
      <c r="F60" s="5" t="inlineStr">
        <is>
          <t>En attente</t>
        </is>
      </c>
      <c r="G60" s="6" t="n"/>
      <c r="H60" s="5" t="n"/>
      <c r="I60" s="5">
        <f>IF(OR(F60="Obtenu",F60="Non applicable",D60=""),"",TODAY()-D60)</f>
        <v/>
      </c>
      <c r="J60" s="5">
        <f>IF(AND(F60&lt;&gt;"Obtenu",F60&lt;&gt;"Non applicable",D60&lt;&gt;"",(TODAY()-D60)&gt;5),"RETARD","")</f>
        <v/>
      </c>
    </row>
    <row r="61">
      <c r="A61" s="5" t="n"/>
      <c r="B61" s="5" t="n"/>
      <c r="C61" s="5" t="n"/>
      <c r="D61" s="6" t="n"/>
      <c r="E61" s="5" t="inlineStr">
        <is>
          <t>Facture commerciale</t>
        </is>
      </c>
      <c r="F61" s="5" t="inlineStr">
        <is>
          <t>En attente</t>
        </is>
      </c>
      <c r="G61" s="6" t="n"/>
      <c r="H61" s="5" t="n"/>
      <c r="I61" s="5">
        <f>IF(OR(F61="Obtenu",F61="Non applicable",D61=""),"",TODAY()-D61)</f>
        <v/>
      </c>
      <c r="J61" s="5">
        <f>IF(AND(F61&lt;&gt;"Obtenu",F61&lt;&gt;"Non applicable",D61&lt;&gt;"",(TODAY()-D61)&gt;5),"RETARD","")</f>
        <v/>
      </c>
    </row>
    <row r="62">
      <c r="A62" s="5" t="n"/>
      <c r="B62" s="5" t="n"/>
      <c r="C62" s="5" t="n"/>
      <c r="D62" s="6" t="n"/>
      <c r="E62" s="5" t="inlineStr">
        <is>
          <t>Liste de colisage (packing list)</t>
        </is>
      </c>
      <c r="F62" s="5" t="inlineStr">
        <is>
          <t>En attente</t>
        </is>
      </c>
      <c r="G62" s="6" t="n"/>
      <c r="H62" s="5" t="n"/>
      <c r="I62" s="5">
        <f>IF(OR(F62="Obtenu",F62="Non applicable",D62=""),"",TODAY()-D62)</f>
        <v/>
      </c>
      <c r="J62" s="5">
        <f>IF(AND(F62&lt;&gt;"Obtenu",F62&lt;&gt;"Non applicable",D62&lt;&gt;"",(TODAY()-D62)&gt;5),"RETARD","")</f>
        <v/>
      </c>
    </row>
    <row r="63">
      <c r="A63" s="5" t="n"/>
      <c r="B63" s="5" t="n"/>
      <c r="C63" s="5" t="n"/>
      <c r="D63" s="6" t="n"/>
      <c r="E63" s="5" t="inlineStr">
        <is>
          <t>Certificat d'origine</t>
        </is>
      </c>
      <c r="F63" s="5" t="inlineStr">
        <is>
          <t>En attente</t>
        </is>
      </c>
      <c r="G63" s="6" t="n"/>
      <c r="H63" s="5" t="n"/>
      <c r="I63" s="5">
        <f>IF(OR(F63="Obtenu",F63="Non applicable",D63=""),"",TODAY()-D63)</f>
        <v/>
      </c>
      <c r="J63" s="5">
        <f>IF(AND(F63&lt;&gt;"Obtenu",F63&lt;&gt;"Non applicable",D63&lt;&gt;"",(TODAY()-D63)&gt;5),"RETARD","")</f>
        <v/>
      </c>
    </row>
    <row r="64">
      <c r="A64" s="5" t="n"/>
      <c r="B64" s="5" t="n"/>
      <c r="C64" s="5" t="n"/>
      <c r="D64" s="6" t="n"/>
      <c r="E64" s="5" t="inlineStr">
        <is>
          <t>Demande d'exoneration douaniere</t>
        </is>
      </c>
      <c r="F64" s="5" t="inlineStr">
        <is>
          <t>En attente</t>
        </is>
      </c>
      <c r="G64" s="6" t="n"/>
      <c r="H64" s="5" t="n"/>
      <c r="I64" s="5">
        <f>IF(OR(F64="Obtenu",F64="Non applicable",D64=""),"",TODAY()-D64)</f>
        <v/>
      </c>
      <c r="J64" s="5">
        <f>IF(AND(F64&lt;&gt;"Obtenu",F64&lt;&gt;"Non applicable",D64&lt;&gt;"",(TODAY()-D64)&gt;5),"RETARD","")</f>
        <v/>
      </c>
    </row>
    <row r="65">
      <c r="A65" s="5" t="n"/>
      <c r="B65" s="5" t="n"/>
      <c r="C65" s="5" t="n"/>
      <c r="D65" s="6" t="n"/>
      <c r="E65" s="5" t="inlineStr">
        <is>
          <t>Autorisation d'importation</t>
        </is>
      </c>
      <c r="F65" s="5" t="inlineStr">
        <is>
          <t>En attente</t>
        </is>
      </c>
      <c r="G65" s="6" t="n"/>
      <c r="H65" s="5" t="n"/>
      <c r="I65" s="5">
        <f>IF(OR(F65="Obtenu",F65="Non applicable",D65=""),"",TODAY()-D65)</f>
        <v/>
      </c>
      <c r="J65" s="5">
        <f>IF(AND(F65&lt;&gt;"Obtenu",F65&lt;&gt;"Non applicable",D65&lt;&gt;"",(TODAY()-D65)&gt;5),"RETARD","")</f>
        <v/>
      </c>
    </row>
    <row r="66">
      <c r="A66" s="5" t="n"/>
      <c r="B66" s="5" t="n"/>
      <c r="C66" s="5" t="n"/>
      <c r="D66" s="6" t="n"/>
      <c r="E66" s="5" t="inlineStr">
        <is>
          <t>Manifeste de cargaison</t>
        </is>
      </c>
      <c r="F66" s="5" t="inlineStr">
        <is>
          <t>En attente</t>
        </is>
      </c>
      <c r="G66" s="6" t="n"/>
      <c r="H66" s="5" t="n"/>
      <c r="I66" s="5">
        <f>IF(OR(F66="Obtenu",F66="Non applicable",D66=""),"",TODAY()-D66)</f>
        <v/>
      </c>
      <c r="J66" s="5">
        <f>IF(AND(F66&lt;&gt;"Obtenu",F66&lt;&gt;"Non applicable",D66&lt;&gt;"",(TODAY()-D66)&gt;5),"RETARD","")</f>
        <v/>
      </c>
    </row>
    <row r="67">
      <c r="A67" s="5" t="n"/>
      <c r="B67" s="5" t="n"/>
      <c r="C67" s="5" t="n"/>
      <c r="D67" s="6" t="n"/>
      <c r="E67" s="5" t="inlineStr">
        <is>
          <t>Autorisation ministerielle complementaire (si applicable)</t>
        </is>
      </c>
      <c r="F67" s="5" t="inlineStr">
        <is>
          <t>En attente</t>
        </is>
      </c>
      <c r="G67" s="6" t="n"/>
      <c r="H67" s="5" t="n"/>
      <c r="I67" s="5">
        <f>IF(OR(F67="Obtenu",F67="Non applicable",D67=""),"",TODAY()-D67)</f>
        <v/>
      </c>
      <c r="J67" s="5">
        <f>IF(AND(F67&lt;&gt;"Obtenu",F67&lt;&gt;"Non applicable",D67&lt;&gt;"",(TODAY()-D67)&gt;5),"RETARD","")</f>
        <v/>
      </c>
    </row>
    <row r="68">
      <c r="A68" s="5" t="n"/>
      <c r="B68" s="5" t="n"/>
      <c r="C68" s="5" t="n"/>
      <c r="D68" s="6" t="n"/>
      <c r="E68" s="5" t="inlineStr">
        <is>
          <t>Facture commerciale</t>
        </is>
      </c>
      <c r="F68" s="5" t="inlineStr">
        <is>
          <t>En attente</t>
        </is>
      </c>
      <c r="G68" s="6" t="n"/>
      <c r="H68" s="5" t="n"/>
      <c r="I68" s="5">
        <f>IF(OR(F68="Obtenu",F68="Non applicable",D68=""),"",TODAY()-D68)</f>
        <v/>
      </c>
      <c r="J68" s="5">
        <f>IF(AND(F68&lt;&gt;"Obtenu",F68&lt;&gt;"Non applicable",D68&lt;&gt;"",(TODAY()-D68)&gt;5),"RETARD","")</f>
        <v/>
      </c>
    </row>
    <row r="69">
      <c r="A69" s="5" t="n"/>
      <c r="B69" s="5" t="n"/>
      <c r="C69" s="5" t="n"/>
      <c r="D69" s="6" t="n"/>
      <c r="E69" s="5" t="inlineStr">
        <is>
          <t>Liste de colisage (packing list)</t>
        </is>
      </c>
      <c r="F69" s="5" t="inlineStr">
        <is>
          <t>En attente</t>
        </is>
      </c>
      <c r="G69" s="6" t="n"/>
      <c r="H69" s="5" t="n"/>
      <c r="I69" s="5">
        <f>IF(OR(F69="Obtenu",F69="Non applicable",D69=""),"",TODAY()-D69)</f>
        <v/>
      </c>
      <c r="J69" s="5">
        <f>IF(AND(F69&lt;&gt;"Obtenu",F69&lt;&gt;"Non applicable",D69&lt;&gt;"",(TODAY()-D69)&gt;5),"RETARD","")</f>
        <v/>
      </c>
    </row>
    <row r="70">
      <c r="A70" s="5" t="n"/>
      <c r="B70" s="5" t="n"/>
      <c r="C70" s="5" t="n"/>
      <c r="D70" s="6" t="n"/>
      <c r="E70" s="5" t="inlineStr">
        <is>
          <t>Certificat d'origine</t>
        </is>
      </c>
      <c r="F70" s="5" t="inlineStr">
        <is>
          <t>En attente</t>
        </is>
      </c>
      <c r="G70" s="6" t="n"/>
      <c r="H70" s="5" t="n"/>
      <c r="I70" s="5">
        <f>IF(OR(F70="Obtenu",F70="Non applicable",D70=""),"",TODAY()-D70)</f>
        <v/>
      </c>
      <c r="J70" s="5">
        <f>IF(AND(F70&lt;&gt;"Obtenu",F70&lt;&gt;"Non applicable",D70&lt;&gt;"",(TODAY()-D70)&gt;5),"RETARD","")</f>
        <v/>
      </c>
    </row>
    <row r="71">
      <c r="A71" s="5" t="n"/>
      <c r="B71" s="5" t="n"/>
      <c r="C71" s="5" t="n"/>
      <c r="D71" s="6" t="n"/>
      <c r="E71" s="5" t="inlineStr">
        <is>
          <t>Demande d'exoneration douaniere</t>
        </is>
      </c>
      <c r="F71" s="5" t="inlineStr">
        <is>
          <t>En attente</t>
        </is>
      </c>
      <c r="G71" s="6" t="n"/>
      <c r="H71" s="5" t="n"/>
      <c r="I71" s="5">
        <f>IF(OR(F71="Obtenu",F71="Non applicable",D71=""),"",TODAY()-D71)</f>
        <v/>
      </c>
      <c r="J71" s="5">
        <f>IF(AND(F71&lt;&gt;"Obtenu",F71&lt;&gt;"Non applicable",D71&lt;&gt;"",(TODAY()-D71)&gt;5),"RETARD","")</f>
        <v/>
      </c>
    </row>
    <row r="72">
      <c r="A72" s="5" t="n"/>
      <c r="B72" s="5" t="n"/>
      <c r="C72" s="5" t="n"/>
      <c r="D72" s="6" t="n"/>
      <c r="E72" s="5" t="inlineStr">
        <is>
          <t>Autorisation d'importation</t>
        </is>
      </c>
      <c r="F72" s="5" t="inlineStr">
        <is>
          <t>En attente</t>
        </is>
      </c>
      <c r="G72" s="6" t="n"/>
      <c r="H72" s="5" t="n"/>
      <c r="I72" s="5">
        <f>IF(OR(F72="Obtenu",F72="Non applicable",D72=""),"",TODAY()-D72)</f>
        <v/>
      </c>
      <c r="J72" s="5">
        <f>IF(AND(F72&lt;&gt;"Obtenu",F72&lt;&gt;"Non applicable",D72&lt;&gt;"",(TODAY()-D72)&gt;5),"RETARD","")</f>
        <v/>
      </c>
    </row>
    <row r="73">
      <c r="A73" s="5" t="n"/>
      <c r="B73" s="5" t="n"/>
      <c r="C73" s="5" t="n"/>
      <c r="D73" s="6" t="n"/>
      <c r="E73" s="5" t="inlineStr">
        <is>
          <t>Manifeste de cargaison</t>
        </is>
      </c>
      <c r="F73" s="5" t="inlineStr">
        <is>
          <t>En attente</t>
        </is>
      </c>
      <c r="G73" s="6" t="n"/>
      <c r="H73" s="5" t="n"/>
      <c r="I73" s="5">
        <f>IF(OR(F73="Obtenu",F73="Non applicable",D73=""),"",TODAY()-D73)</f>
        <v/>
      </c>
      <c r="J73" s="5">
        <f>IF(AND(F73&lt;&gt;"Obtenu",F73&lt;&gt;"Non applicable",D73&lt;&gt;"",(TODAY()-D73)&gt;5),"RETARD","")</f>
        <v/>
      </c>
    </row>
    <row r="74">
      <c r="A74" s="5" t="n"/>
      <c r="B74" s="5" t="n"/>
      <c r="C74" s="5" t="n"/>
      <c r="D74" s="6" t="n"/>
      <c r="E74" s="5" t="inlineStr">
        <is>
          <t>Autorisation ministerielle complementaire (si applicable)</t>
        </is>
      </c>
      <c r="F74" s="5" t="inlineStr">
        <is>
          <t>En attente</t>
        </is>
      </c>
      <c r="G74" s="6" t="n"/>
      <c r="H74" s="5" t="n"/>
      <c r="I74" s="5">
        <f>IF(OR(F74="Obtenu",F74="Non applicable",D74=""),"",TODAY()-D74)</f>
        <v/>
      </c>
      <c r="J74" s="5">
        <f>IF(AND(F74&lt;&gt;"Obtenu",F74&lt;&gt;"Non applicable",D74&lt;&gt;"",(TODAY()-D74)&gt;5),"RETARD","")</f>
        <v/>
      </c>
    </row>
    <row r="75">
      <c r="A75" s="5" t="n"/>
      <c r="B75" s="5" t="n"/>
      <c r="C75" s="5" t="n"/>
      <c r="D75" s="6" t="n"/>
      <c r="E75" s="5" t="inlineStr">
        <is>
          <t>Facture commerciale</t>
        </is>
      </c>
      <c r="F75" s="5" t="inlineStr">
        <is>
          <t>En attente</t>
        </is>
      </c>
      <c r="G75" s="6" t="n"/>
      <c r="H75" s="5" t="n"/>
      <c r="I75" s="5">
        <f>IF(OR(F75="Obtenu",F75="Non applicable",D75=""),"",TODAY()-D75)</f>
        <v/>
      </c>
      <c r="J75" s="5">
        <f>IF(AND(F75&lt;&gt;"Obtenu",F75&lt;&gt;"Non applicable",D75&lt;&gt;"",(TODAY()-D75)&gt;5),"RETARD","")</f>
        <v/>
      </c>
    </row>
    <row r="76">
      <c r="A76" s="5" t="n"/>
      <c r="B76" s="5" t="n"/>
      <c r="C76" s="5" t="n"/>
      <c r="D76" s="6" t="n"/>
      <c r="E76" s="5" t="inlineStr">
        <is>
          <t>Liste de colisage (packing list)</t>
        </is>
      </c>
      <c r="F76" s="5" t="inlineStr">
        <is>
          <t>En attente</t>
        </is>
      </c>
      <c r="G76" s="6" t="n"/>
      <c r="H76" s="5" t="n"/>
      <c r="I76" s="5">
        <f>IF(OR(F76="Obtenu",F76="Non applicable",D76=""),"",TODAY()-D76)</f>
        <v/>
      </c>
      <c r="J76" s="5">
        <f>IF(AND(F76&lt;&gt;"Obtenu",F76&lt;&gt;"Non applicable",D76&lt;&gt;"",(TODAY()-D76)&gt;5),"RETARD","")</f>
        <v/>
      </c>
    </row>
    <row r="77">
      <c r="A77" s="5" t="n"/>
      <c r="B77" s="5" t="n"/>
      <c r="C77" s="5" t="n"/>
      <c r="D77" s="6" t="n"/>
      <c r="E77" s="5" t="inlineStr">
        <is>
          <t>Certificat d'origine</t>
        </is>
      </c>
      <c r="F77" s="5" t="inlineStr">
        <is>
          <t>En attente</t>
        </is>
      </c>
      <c r="G77" s="6" t="n"/>
      <c r="H77" s="5" t="n"/>
      <c r="I77" s="5">
        <f>IF(OR(F77="Obtenu",F77="Non applicable",D77=""),"",TODAY()-D77)</f>
        <v/>
      </c>
      <c r="J77" s="5">
        <f>IF(AND(F77&lt;&gt;"Obtenu",F77&lt;&gt;"Non applicable",D77&lt;&gt;"",(TODAY()-D77)&gt;5),"RETARD","")</f>
        <v/>
      </c>
    </row>
    <row r="78">
      <c r="A78" s="5" t="n"/>
      <c r="B78" s="5" t="n"/>
      <c r="C78" s="5" t="n"/>
      <c r="D78" s="6" t="n"/>
      <c r="E78" s="5" t="inlineStr">
        <is>
          <t>Demande d'exoneration douaniere</t>
        </is>
      </c>
      <c r="F78" s="5" t="inlineStr">
        <is>
          <t>En attente</t>
        </is>
      </c>
      <c r="G78" s="6" t="n"/>
      <c r="H78" s="5" t="n"/>
      <c r="I78" s="5">
        <f>IF(OR(F78="Obtenu",F78="Non applicable",D78=""),"",TODAY()-D78)</f>
        <v/>
      </c>
      <c r="J78" s="5">
        <f>IF(AND(F78&lt;&gt;"Obtenu",F78&lt;&gt;"Non applicable",D78&lt;&gt;"",(TODAY()-D78)&gt;5),"RETARD","")</f>
        <v/>
      </c>
    </row>
    <row r="79">
      <c r="A79" s="5" t="n"/>
      <c r="B79" s="5" t="n"/>
      <c r="C79" s="5" t="n"/>
      <c r="D79" s="6" t="n"/>
      <c r="E79" s="5" t="inlineStr">
        <is>
          <t>Autorisation d'importation</t>
        </is>
      </c>
      <c r="F79" s="5" t="inlineStr">
        <is>
          <t>En attente</t>
        </is>
      </c>
      <c r="G79" s="6" t="n"/>
      <c r="H79" s="5" t="n"/>
      <c r="I79" s="5">
        <f>IF(OR(F79="Obtenu",F79="Non applicable",D79=""),"",TODAY()-D79)</f>
        <v/>
      </c>
      <c r="J79" s="5">
        <f>IF(AND(F79&lt;&gt;"Obtenu",F79&lt;&gt;"Non applicable",D79&lt;&gt;"",(TODAY()-D79)&gt;5),"RETARD","")</f>
        <v/>
      </c>
    </row>
    <row r="80">
      <c r="A80" s="5" t="n"/>
      <c r="B80" s="5" t="n"/>
      <c r="C80" s="5" t="n"/>
      <c r="D80" s="6" t="n"/>
      <c r="E80" s="5" t="inlineStr">
        <is>
          <t>Manifeste de cargaison</t>
        </is>
      </c>
      <c r="F80" s="5" t="inlineStr">
        <is>
          <t>En attente</t>
        </is>
      </c>
      <c r="G80" s="6" t="n"/>
      <c r="H80" s="5" t="n"/>
      <c r="I80" s="5">
        <f>IF(OR(F80="Obtenu",F80="Non applicable",D80=""),"",TODAY()-D80)</f>
        <v/>
      </c>
      <c r="J80" s="5">
        <f>IF(AND(F80&lt;&gt;"Obtenu",F80&lt;&gt;"Non applicable",D80&lt;&gt;"",(TODAY()-D80)&gt;5),"RETARD","")</f>
        <v/>
      </c>
    </row>
    <row r="81">
      <c r="A81" s="5" t="n"/>
      <c r="B81" s="5" t="n"/>
      <c r="C81" s="5" t="n"/>
      <c r="D81" s="6" t="n"/>
      <c r="E81" s="5" t="inlineStr">
        <is>
          <t>Autorisation ministerielle complementaire (si applicable)</t>
        </is>
      </c>
      <c r="F81" s="5" t="inlineStr">
        <is>
          <t>En attente</t>
        </is>
      </c>
      <c r="G81" s="6" t="n"/>
      <c r="H81" s="5" t="n"/>
      <c r="I81" s="5">
        <f>IF(OR(F81="Obtenu",F81="Non applicable",D81=""),"",TODAY()-D81)</f>
        <v/>
      </c>
      <c r="J81" s="5">
        <f>IF(AND(F81&lt;&gt;"Obtenu",F81&lt;&gt;"Non applicable",D81&lt;&gt;"",(TODAY()-D81)&gt;5),"RETARD","")</f>
        <v/>
      </c>
    </row>
    <row r="82">
      <c r="A82" s="5" t="n"/>
      <c r="B82" s="5" t="n"/>
      <c r="C82" s="5" t="n"/>
      <c r="D82" s="6" t="n"/>
      <c r="E82" s="5" t="inlineStr">
        <is>
          <t>Facture commerciale</t>
        </is>
      </c>
      <c r="F82" s="5" t="inlineStr">
        <is>
          <t>En attente</t>
        </is>
      </c>
      <c r="G82" s="6" t="n"/>
      <c r="H82" s="5" t="n"/>
      <c r="I82" s="5">
        <f>IF(OR(F82="Obtenu",F82="Non applicable",D82=""),"",TODAY()-D82)</f>
        <v/>
      </c>
      <c r="J82" s="5">
        <f>IF(AND(F82&lt;&gt;"Obtenu",F82&lt;&gt;"Non applicable",D82&lt;&gt;"",(TODAY()-D82)&gt;5),"RETARD","")</f>
        <v/>
      </c>
    </row>
    <row r="83">
      <c r="A83" s="5" t="n"/>
      <c r="B83" s="5" t="n"/>
      <c r="C83" s="5" t="n"/>
      <c r="D83" s="6" t="n"/>
      <c r="E83" s="5" t="inlineStr">
        <is>
          <t>Liste de colisage (packing list)</t>
        </is>
      </c>
      <c r="F83" s="5" t="inlineStr">
        <is>
          <t>En attente</t>
        </is>
      </c>
      <c r="G83" s="6" t="n"/>
      <c r="H83" s="5" t="n"/>
      <c r="I83" s="5">
        <f>IF(OR(F83="Obtenu",F83="Non applicable",D83=""),"",TODAY()-D83)</f>
        <v/>
      </c>
      <c r="J83" s="5">
        <f>IF(AND(F83&lt;&gt;"Obtenu",F83&lt;&gt;"Non applicable",D83&lt;&gt;"",(TODAY()-D83)&gt;5),"RETARD","")</f>
        <v/>
      </c>
    </row>
    <row r="84">
      <c r="A84" s="5" t="n"/>
      <c r="B84" s="5" t="n"/>
      <c r="C84" s="5" t="n"/>
      <c r="D84" s="6" t="n"/>
      <c r="E84" s="5" t="inlineStr">
        <is>
          <t>Certificat d'origine</t>
        </is>
      </c>
      <c r="F84" s="5" t="inlineStr">
        <is>
          <t>En attente</t>
        </is>
      </c>
      <c r="G84" s="6" t="n"/>
      <c r="H84" s="5" t="n"/>
      <c r="I84" s="5">
        <f>IF(OR(F84="Obtenu",F84="Non applicable",D84=""),"",TODAY()-D84)</f>
        <v/>
      </c>
      <c r="J84" s="5">
        <f>IF(AND(F84&lt;&gt;"Obtenu",F84&lt;&gt;"Non applicable",D84&lt;&gt;"",(TODAY()-D84)&gt;5),"RETARD","")</f>
        <v/>
      </c>
    </row>
    <row r="85">
      <c r="A85" s="5" t="n"/>
      <c r="B85" s="5" t="n"/>
      <c r="C85" s="5" t="n"/>
      <c r="D85" s="6" t="n"/>
      <c r="E85" s="5" t="inlineStr">
        <is>
          <t>Demande d'exoneration douaniere</t>
        </is>
      </c>
      <c r="F85" s="5" t="inlineStr">
        <is>
          <t>En attente</t>
        </is>
      </c>
      <c r="G85" s="6" t="n"/>
      <c r="H85" s="5" t="n"/>
      <c r="I85" s="5">
        <f>IF(OR(F85="Obtenu",F85="Non applicable",D85=""),"",TODAY()-D85)</f>
        <v/>
      </c>
      <c r="J85" s="5">
        <f>IF(AND(F85&lt;&gt;"Obtenu",F85&lt;&gt;"Non applicable",D85&lt;&gt;"",(TODAY()-D85)&gt;5),"RETARD","")</f>
        <v/>
      </c>
    </row>
    <row r="86">
      <c r="A86" s="5" t="n"/>
      <c r="B86" s="5" t="n"/>
      <c r="C86" s="5" t="n"/>
      <c r="D86" s="6" t="n"/>
      <c r="E86" s="5" t="inlineStr">
        <is>
          <t>Autorisation d'importation</t>
        </is>
      </c>
      <c r="F86" s="5" t="inlineStr">
        <is>
          <t>En attente</t>
        </is>
      </c>
      <c r="G86" s="6" t="n"/>
      <c r="H86" s="5" t="n"/>
      <c r="I86" s="5">
        <f>IF(OR(F86="Obtenu",F86="Non applicable",D86=""),"",TODAY()-D86)</f>
        <v/>
      </c>
      <c r="J86" s="5">
        <f>IF(AND(F86&lt;&gt;"Obtenu",F86&lt;&gt;"Non applicable",D86&lt;&gt;"",(TODAY()-D86)&gt;5),"RETARD","")</f>
        <v/>
      </c>
    </row>
    <row r="87">
      <c r="A87" s="5" t="n"/>
      <c r="B87" s="5" t="n"/>
      <c r="C87" s="5" t="n"/>
      <c r="D87" s="6" t="n"/>
      <c r="E87" s="5" t="inlineStr">
        <is>
          <t>Manifeste de cargaison</t>
        </is>
      </c>
      <c r="F87" s="5" t="inlineStr">
        <is>
          <t>En attente</t>
        </is>
      </c>
      <c r="G87" s="6" t="n"/>
      <c r="H87" s="5" t="n"/>
      <c r="I87" s="5">
        <f>IF(OR(F87="Obtenu",F87="Non applicable",D87=""),"",TODAY()-D87)</f>
        <v/>
      </c>
      <c r="J87" s="5">
        <f>IF(AND(F87&lt;&gt;"Obtenu",F87&lt;&gt;"Non applicable",D87&lt;&gt;"",(TODAY()-D87)&gt;5),"RETARD","")</f>
        <v/>
      </c>
    </row>
    <row r="88">
      <c r="A88" s="5" t="n"/>
      <c r="B88" s="5" t="n"/>
      <c r="C88" s="5" t="n"/>
      <c r="D88" s="6" t="n"/>
      <c r="E88" s="5" t="inlineStr">
        <is>
          <t>Autorisation ministerielle complementaire (si applicable)</t>
        </is>
      </c>
      <c r="F88" s="5" t="inlineStr">
        <is>
          <t>En attente</t>
        </is>
      </c>
      <c r="G88" s="6" t="n"/>
      <c r="H88" s="5" t="n"/>
      <c r="I88" s="5">
        <f>IF(OR(F88="Obtenu",F88="Non applicable",D88=""),"",TODAY()-D88)</f>
        <v/>
      </c>
      <c r="J88" s="5">
        <f>IF(AND(F88&lt;&gt;"Obtenu",F88&lt;&gt;"Non applicable",D88&lt;&gt;"",(TODAY()-D88)&gt;5),"RETARD","")</f>
        <v/>
      </c>
    </row>
    <row r="89">
      <c r="A89" s="5" t="n"/>
      <c r="B89" s="5" t="n"/>
      <c r="C89" s="5" t="n"/>
      <c r="D89" s="6" t="n"/>
      <c r="E89" s="5" t="inlineStr">
        <is>
          <t>Facture commerciale</t>
        </is>
      </c>
      <c r="F89" s="5" t="inlineStr">
        <is>
          <t>En attente</t>
        </is>
      </c>
      <c r="G89" s="6" t="n"/>
      <c r="H89" s="5" t="n"/>
      <c r="I89" s="5">
        <f>IF(OR(F89="Obtenu",F89="Non applicable",D89=""),"",TODAY()-D89)</f>
        <v/>
      </c>
      <c r="J89" s="5">
        <f>IF(AND(F89&lt;&gt;"Obtenu",F89&lt;&gt;"Non applicable",D89&lt;&gt;"",(TODAY()-D89)&gt;5),"RETARD","")</f>
        <v/>
      </c>
    </row>
    <row r="90">
      <c r="A90" s="5" t="n"/>
      <c r="B90" s="5" t="n"/>
      <c r="C90" s="5" t="n"/>
      <c r="D90" s="6" t="n"/>
      <c r="E90" s="5" t="inlineStr">
        <is>
          <t>Liste de colisage (packing list)</t>
        </is>
      </c>
      <c r="F90" s="5" t="inlineStr">
        <is>
          <t>En attente</t>
        </is>
      </c>
      <c r="G90" s="6" t="n"/>
      <c r="H90" s="5" t="n"/>
      <c r="I90" s="5">
        <f>IF(OR(F90="Obtenu",F90="Non applicable",D90=""),"",TODAY()-D90)</f>
        <v/>
      </c>
      <c r="J90" s="5">
        <f>IF(AND(F90&lt;&gt;"Obtenu",F90&lt;&gt;"Non applicable",D90&lt;&gt;"",(TODAY()-D90)&gt;5),"RETARD","")</f>
        <v/>
      </c>
    </row>
    <row r="91">
      <c r="A91" s="5" t="n"/>
      <c r="B91" s="5" t="n"/>
      <c r="C91" s="5" t="n"/>
      <c r="D91" s="6" t="n"/>
      <c r="E91" s="5" t="inlineStr">
        <is>
          <t>Certificat d'origine</t>
        </is>
      </c>
      <c r="F91" s="5" t="inlineStr">
        <is>
          <t>En attente</t>
        </is>
      </c>
      <c r="G91" s="6" t="n"/>
      <c r="H91" s="5" t="n"/>
      <c r="I91" s="5">
        <f>IF(OR(F91="Obtenu",F91="Non applicable",D91=""),"",TODAY()-D91)</f>
        <v/>
      </c>
      <c r="J91" s="5">
        <f>IF(AND(F91&lt;&gt;"Obtenu",F91&lt;&gt;"Non applicable",D91&lt;&gt;"",(TODAY()-D91)&gt;5),"RETARD","")</f>
        <v/>
      </c>
    </row>
    <row r="92">
      <c r="A92" s="5" t="n"/>
      <c r="B92" s="5" t="n"/>
      <c r="C92" s="5" t="n"/>
      <c r="D92" s="6" t="n"/>
      <c r="E92" s="5" t="inlineStr">
        <is>
          <t>Demande d'exoneration douaniere</t>
        </is>
      </c>
      <c r="F92" s="5" t="inlineStr">
        <is>
          <t>En attente</t>
        </is>
      </c>
      <c r="G92" s="6" t="n"/>
      <c r="H92" s="5" t="n"/>
      <c r="I92" s="5">
        <f>IF(OR(F92="Obtenu",F92="Non applicable",D92=""),"",TODAY()-D92)</f>
        <v/>
      </c>
      <c r="J92" s="5">
        <f>IF(AND(F92&lt;&gt;"Obtenu",F92&lt;&gt;"Non applicable",D92&lt;&gt;"",(TODAY()-D92)&gt;5),"RETARD","")</f>
        <v/>
      </c>
    </row>
    <row r="93">
      <c r="A93" s="5" t="n"/>
      <c r="B93" s="5" t="n"/>
      <c r="C93" s="5" t="n"/>
      <c r="D93" s="6" t="n"/>
      <c r="E93" s="5" t="inlineStr">
        <is>
          <t>Autorisation d'importation</t>
        </is>
      </c>
      <c r="F93" s="5" t="inlineStr">
        <is>
          <t>En attente</t>
        </is>
      </c>
      <c r="G93" s="6" t="n"/>
      <c r="H93" s="5" t="n"/>
      <c r="I93" s="5">
        <f>IF(OR(F93="Obtenu",F93="Non applicable",D93=""),"",TODAY()-D93)</f>
        <v/>
      </c>
      <c r="J93" s="5">
        <f>IF(AND(F93&lt;&gt;"Obtenu",F93&lt;&gt;"Non applicable",D93&lt;&gt;"",(TODAY()-D93)&gt;5),"RETARD","")</f>
        <v/>
      </c>
    </row>
    <row r="94">
      <c r="A94" s="5" t="n"/>
      <c r="B94" s="5" t="n"/>
      <c r="C94" s="5" t="n"/>
      <c r="D94" s="6" t="n"/>
      <c r="E94" s="5" t="inlineStr">
        <is>
          <t>Manifeste de cargaison</t>
        </is>
      </c>
      <c r="F94" s="5" t="inlineStr">
        <is>
          <t>En attente</t>
        </is>
      </c>
      <c r="G94" s="6" t="n"/>
      <c r="H94" s="5" t="n"/>
      <c r="I94" s="5">
        <f>IF(OR(F94="Obtenu",F94="Non applicable",D94=""),"",TODAY()-D94)</f>
        <v/>
      </c>
      <c r="J94" s="5">
        <f>IF(AND(F94&lt;&gt;"Obtenu",F94&lt;&gt;"Non applicable",D94&lt;&gt;"",(TODAY()-D94)&gt;5),"RETARD","")</f>
        <v/>
      </c>
    </row>
    <row r="95">
      <c r="A95" s="5" t="n"/>
      <c r="B95" s="5" t="n"/>
      <c r="C95" s="5" t="n"/>
      <c r="D95" s="6" t="n"/>
      <c r="E95" s="5" t="inlineStr">
        <is>
          <t>Autorisation ministerielle complementaire (si applicable)</t>
        </is>
      </c>
      <c r="F95" s="5" t="inlineStr">
        <is>
          <t>En attente</t>
        </is>
      </c>
      <c r="G95" s="6" t="n"/>
      <c r="H95" s="5" t="n"/>
      <c r="I95" s="5">
        <f>IF(OR(F95="Obtenu",F95="Non applicable",D95=""),"",TODAY()-D95)</f>
        <v/>
      </c>
      <c r="J95" s="5">
        <f>IF(AND(F95&lt;&gt;"Obtenu",F95&lt;&gt;"Non applicable",D95&lt;&gt;"",(TODAY()-D95)&gt;5),"RETARD","")</f>
        <v/>
      </c>
    </row>
    <row r="96">
      <c r="A96" s="5" t="n"/>
      <c r="B96" s="5" t="n"/>
      <c r="C96" s="5" t="n"/>
      <c r="D96" s="6" t="n"/>
      <c r="E96" s="5" t="inlineStr">
        <is>
          <t>Facture commerciale</t>
        </is>
      </c>
      <c r="F96" s="5" t="inlineStr">
        <is>
          <t>En attente</t>
        </is>
      </c>
      <c r="G96" s="6" t="n"/>
      <c r="H96" s="5" t="n"/>
      <c r="I96" s="5">
        <f>IF(OR(F96="Obtenu",F96="Non applicable",D96=""),"",TODAY()-D96)</f>
        <v/>
      </c>
      <c r="J96" s="5">
        <f>IF(AND(F96&lt;&gt;"Obtenu",F96&lt;&gt;"Non applicable",D96&lt;&gt;"",(TODAY()-D96)&gt;5),"RETARD","")</f>
        <v/>
      </c>
    </row>
    <row r="97">
      <c r="A97" s="5" t="n"/>
      <c r="B97" s="5" t="n"/>
      <c r="C97" s="5" t="n"/>
      <c r="D97" s="6" t="n"/>
      <c r="E97" s="5" t="inlineStr">
        <is>
          <t>Liste de colisage (packing list)</t>
        </is>
      </c>
      <c r="F97" s="5" t="inlineStr">
        <is>
          <t>En attente</t>
        </is>
      </c>
      <c r="G97" s="6" t="n"/>
      <c r="H97" s="5" t="n"/>
      <c r="I97" s="5">
        <f>IF(OR(F97="Obtenu",F97="Non applicable",D97=""),"",TODAY()-D97)</f>
        <v/>
      </c>
      <c r="J97" s="5">
        <f>IF(AND(F97&lt;&gt;"Obtenu",F97&lt;&gt;"Non applicable",D97&lt;&gt;"",(TODAY()-D97)&gt;5),"RETARD","")</f>
        <v/>
      </c>
    </row>
    <row r="98">
      <c r="A98" s="5" t="n"/>
      <c r="B98" s="5" t="n"/>
      <c r="C98" s="5" t="n"/>
      <c r="D98" s="6" t="n"/>
      <c r="E98" s="5" t="inlineStr">
        <is>
          <t>Certificat d'origine</t>
        </is>
      </c>
      <c r="F98" s="5" t="inlineStr">
        <is>
          <t>En attente</t>
        </is>
      </c>
      <c r="G98" s="6" t="n"/>
      <c r="H98" s="5" t="n"/>
      <c r="I98" s="5">
        <f>IF(OR(F98="Obtenu",F98="Non applicable",D98=""),"",TODAY()-D98)</f>
        <v/>
      </c>
      <c r="J98" s="5">
        <f>IF(AND(F98&lt;&gt;"Obtenu",F98&lt;&gt;"Non applicable",D98&lt;&gt;"",(TODAY()-D98)&gt;5),"RETARD","")</f>
        <v/>
      </c>
    </row>
    <row r="99">
      <c r="A99" s="5" t="n"/>
      <c r="B99" s="5" t="n"/>
      <c r="C99" s="5" t="n"/>
      <c r="D99" s="6" t="n"/>
      <c r="E99" s="5" t="inlineStr">
        <is>
          <t>Demande d'exoneration douaniere</t>
        </is>
      </c>
      <c r="F99" s="5" t="inlineStr">
        <is>
          <t>En attente</t>
        </is>
      </c>
      <c r="G99" s="6" t="n"/>
      <c r="H99" s="5" t="n"/>
      <c r="I99" s="5">
        <f>IF(OR(F99="Obtenu",F99="Non applicable",D99=""),"",TODAY()-D99)</f>
        <v/>
      </c>
      <c r="J99" s="5">
        <f>IF(AND(F99&lt;&gt;"Obtenu",F99&lt;&gt;"Non applicable",D99&lt;&gt;"",(TODAY()-D99)&gt;5),"RETARD","")</f>
        <v/>
      </c>
    </row>
    <row r="100">
      <c r="A100" s="5" t="n"/>
      <c r="B100" s="5" t="n"/>
      <c r="C100" s="5" t="n"/>
      <c r="D100" s="6" t="n"/>
      <c r="E100" s="5" t="inlineStr">
        <is>
          <t>Autorisation d'importation</t>
        </is>
      </c>
      <c r="F100" s="5" t="inlineStr">
        <is>
          <t>En attente</t>
        </is>
      </c>
      <c r="G100" s="6" t="n"/>
      <c r="H100" s="5" t="n"/>
      <c r="I100" s="5">
        <f>IF(OR(F100="Obtenu",F100="Non applicable",D100=""),"",TODAY()-D100)</f>
        <v/>
      </c>
      <c r="J100" s="5">
        <f>IF(AND(F100&lt;&gt;"Obtenu",F100&lt;&gt;"Non applicable",D100&lt;&gt;"",(TODAY()-D100)&gt;5),"RETARD","")</f>
        <v/>
      </c>
    </row>
    <row r="101">
      <c r="A101" s="5" t="n"/>
      <c r="B101" s="5" t="n"/>
      <c r="C101" s="5" t="n"/>
      <c r="D101" s="6" t="n"/>
      <c r="E101" s="5" t="inlineStr">
        <is>
          <t>Manifeste de cargaison</t>
        </is>
      </c>
      <c r="F101" s="5" t="inlineStr">
        <is>
          <t>En attente</t>
        </is>
      </c>
      <c r="G101" s="6" t="n"/>
      <c r="H101" s="5" t="n"/>
      <c r="I101" s="5">
        <f>IF(OR(F101="Obtenu",F101="Non applicable",D101=""),"",TODAY()-D101)</f>
        <v/>
      </c>
      <c r="J101" s="5">
        <f>IF(AND(F101&lt;&gt;"Obtenu",F101&lt;&gt;"Non applicable",D101&lt;&gt;"",(TODAY()-D101)&gt;5),"RETARD","")</f>
        <v/>
      </c>
    </row>
    <row r="102">
      <c r="A102" s="5" t="n"/>
      <c r="B102" s="5" t="n"/>
      <c r="C102" s="5" t="n"/>
      <c r="D102" s="6" t="n"/>
      <c r="E102" s="5" t="inlineStr">
        <is>
          <t>Autorisation ministerielle complementaire (si applicable)</t>
        </is>
      </c>
      <c r="F102" s="5" t="inlineStr">
        <is>
          <t>En attente</t>
        </is>
      </c>
      <c r="G102" s="6" t="n"/>
      <c r="H102" s="5" t="n"/>
      <c r="I102" s="5">
        <f>IF(OR(F102="Obtenu",F102="Non applicable",D102=""),"",TODAY()-D102)</f>
        <v/>
      </c>
      <c r="J102" s="5">
        <f>IF(AND(F102&lt;&gt;"Obtenu",F102&lt;&gt;"Non applicable",D102&lt;&gt;"",(TODAY()-D102)&gt;5),"RETARD","")</f>
        <v/>
      </c>
    </row>
    <row r="103">
      <c r="A103" s="5" t="n"/>
      <c r="B103" s="5" t="n"/>
      <c r="C103" s="5" t="n"/>
      <c r="D103" s="6" t="n"/>
      <c r="E103" s="5" t="inlineStr">
        <is>
          <t>Facture commerciale</t>
        </is>
      </c>
      <c r="F103" s="5" t="inlineStr">
        <is>
          <t>En attente</t>
        </is>
      </c>
      <c r="G103" s="6" t="n"/>
      <c r="H103" s="5" t="n"/>
      <c r="I103" s="5">
        <f>IF(OR(F103="Obtenu",F103="Non applicable",D103=""),"",TODAY()-D103)</f>
        <v/>
      </c>
      <c r="J103" s="5">
        <f>IF(AND(F103&lt;&gt;"Obtenu",F103&lt;&gt;"Non applicable",D103&lt;&gt;"",(TODAY()-D103)&gt;5),"RETARD","")</f>
        <v/>
      </c>
    </row>
    <row r="104">
      <c r="A104" s="5" t="n"/>
      <c r="B104" s="5" t="n"/>
      <c r="C104" s="5" t="n"/>
      <c r="D104" s="6" t="n"/>
      <c r="E104" s="5" t="inlineStr">
        <is>
          <t>Liste de colisage (packing list)</t>
        </is>
      </c>
      <c r="F104" s="5" t="inlineStr">
        <is>
          <t>En attente</t>
        </is>
      </c>
      <c r="G104" s="6" t="n"/>
      <c r="H104" s="5" t="n"/>
      <c r="I104" s="5">
        <f>IF(OR(F104="Obtenu",F104="Non applicable",D104=""),"",TODAY()-D104)</f>
        <v/>
      </c>
      <c r="J104" s="5">
        <f>IF(AND(F104&lt;&gt;"Obtenu",F104&lt;&gt;"Non applicable",D104&lt;&gt;"",(TODAY()-D104)&gt;5),"RETARD","")</f>
        <v/>
      </c>
    </row>
    <row r="105">
      <c r="A105" s="5" t="n"/>
      <c r="B105" s="5" t="n"/>
      <c r="C105" s="5" t="n"/>
      <c r="D105" s="6" t="n"/>
      <c r="E105" s="5" t="inlineStr">
        <is>
          <t>Certificat d'origine</t>
        </is>
      </c>
      <c r="F105" s="5" t="inlineStr">
        <is>
          <t>En attente</t>
        </is>
      </c>
      <c r="G105" s="6" t="n"/>
      <c r="H105" s="5" t="n"/>
      <c r="I105" s="5">
        <f>IF(OR(F105="Obtenu",F105="Non applicable",D105=""),"",TODAY()-D105)</f>
        <v/>
      </c>
      <c r="J105" s="5">
        <f>IF(AND(F105&lt;&gt;"Obtenu",F105&lt;&gt;"Non applicable",D105&lt;&gt;"",(TODAY()-D105)&gt;5),"RETARD","")</f>
        <v/>
      </c>
    </row>
    <row r="106">
      <c r="A106" s="5" t="n"/>
      <c r="B106" s="5" t="n"/>
      <c r="C106" s="5" t="n"/>
      <c r="D106" s="6" t="n"/>
      <c r="E106" s="5" t="inlineStr">
        <is>
          <t>Demande d'exoneration douaniere</t>
        </is>
      </c>
      <c r="F106" s="5" t="inlineStr">
        <is>
          <t>En attente</t>
        </is>
      </c>
      <c r="G106" s="6" t="n"/>
      <c r="H106" s="5" t="n"/>
      <c r="I106" s="5">
        <f>IF(OR(F106="Obtenu",F106="Non applicable",D106=""),"",TODAY()-D106)</f>
        <v/>
      </c>
      <c r="J106" s="5">
        <f>IF(AND(F106&lt;&gt;"Obtenu",F106&lt;&gt;"Non applicable",D106&lt;&gt;"",(TODAY()-D106)&gt;5),"RETARD","")</f>
        <v/>
      </c>
    </row>
    <row r="107">
      <c r="A107" s="5" t="n"/>
      <c r="B107" s="5" t="n"/>
      <c r="C107" s="5" t="n"/>
      <c r="D107" s="6" t="n"/>
      <c r="E107" s="5" t="inlineStr">
        <is>
          <t>Autorisation d'importation</t>
        </is>
      </c>
      <c r="F107" s="5" t="inlineStr">
        <is>
          <t>En attente</t>
        </is>
      </c>
      <c r="G107" s="6" t="n"/>
      <c r="H107" s="5" t="n"/>
      <c r="I107" s="5">
        <f>IF(OR(F107="Obtenu",F107="Non applicable",D107=""),"",TODAY()-D107)</f>
        <v/>
      </c>
      <c r="J107" s="5">
        <f>IF(AND(F107&lt;&gt;"Obtenu",F107&lt;&gt;"Non applicable",D107&lt;&gt;"",(TODAY()-D107)&gt;5),"RETARD","")</f>
        <v/>
      </c>
    </row>
    <row r="108">
      <c r="A108" s="5" t="n"/>
      <c r="B108" s="5" t="n"/>
      <c r="C108" s="5" t="n"/>
      <c r="D108" s="6" t="n"/>
      <c r="E108" s="5" t="inlineStr">
        <is>
          <t>Manifeste de cargaison</t>
        </is>
      </c>
      <c r="F108" s="5" t="inlineStr">
        <is>
          <t>En attente</t>
        </is>
      </c>
      <c r="G108" s="6" t="n"/>
      <c r="H108" s="5" t="n"/>
      <c r="I108" s="5">
        <f>IF(OR(F108="Obtenu",F108="Non applicable",D108=""),"",TODAY()-D108)</f>
        <v/>
      </c>
      <c r="J108" s="5">
        <f>IF(AND(F108&lt;&gt;"Obtenu",F108&lt;&gt;"Non applicable",D108&lt;&gt;"",(TODAY()-D108)&gt;5),"RETARD","")</f>
        <v/>
      </c>
    </row>
    <row r="109">
      <c r="A109" s="5" t="n"/>
      <c r="B109" s="5" t="n"/>
      <c r="C109" s="5" t="n"/>
      <c r="D109" s="6" t="n"/>
      <c r="E109" s="5" t="inlineStr">
        <is>
          <t>Autorisation ministerielle complementaire (si applicable)</t>
        </is>
      </c>
      <c r="F109" s="5" t="inlineStr">
        <is>
          <t>En attente</t>
        </is>
      </c>
      <c r="G109" s="6" t="n"/>
      <c r="H109" s="5" t="n"/>
      <c r="I109" s="5">
        <f>IF(OR(F109="Obtenu",F109="Non applicable",D109=""),"",TODAY()-D109)</f>
        <v/>
      </c>
      <c r="J109" s="5">
        <f>IF(AND(F109&lt;&gt;"Obtenu",F109&lt;&gt;"Non applicable",D109&lt;&gt;"",(TODAY()-D109)&gt;5),"RETARD","")</f>
        <v/>
      </c>
    </row>
    <row r="110">
      <c r="A110" s="5" t="n"/>
      <c r="B110" s="5" t="n"/>
      <c r="C110" s="5" t="n"/>
      <c r="D110" s="6" t="n"/>
      <c r="E110" s="5" t="inlineStr">
        <is>
          <t>Facture commerciale</t>
        </is>
      </c>
      <c r="F110" s="5" t="inlineStr">
        <is>
          <t>En attente</t>
        </is>
      </c>
      <c r="G110" s="6" t="n"/>
      <c r="H110" s="5" t="n"/>
      <c r="I110" s="5">
        <f>IF(OR(F110="Obtenu",F110="Non applicable",D110=""),"",TODAY()-D110)</f>
        <v/>
      </c>
      <c r="J110" s="5">
        <f>IF(AND(F110&lt;&gt;"Obtenu",F110&lt;&gt;"Non applicable",D110&lt;&gt;"",(TODAY()-D110)&gt;5),"RETARD","")</f>
        <v/>
      </c>
    </row>
    <row r="111">
      <c r="A111" s="5" t="n"/>
      <c r="B111" s="5" t="n"/>
      <c r="C111" s="5" t="n"/>
      <c r="D111" s="6" t="n"/>
      <c r="E111" s="5" t="inlineStr">
        <is>
          <t>Liste de colisage (packing list)</t>
        </is>
      </c>
      <c r="F111" s="5" t="inlineStr">
        <is>
          <t>En attente</t>
        </is>
      </c>
      <c r="G111" s="6" t="n"/>
      <c r="H111" s="5" t="n"/>
      <c r="I111" s="5">
        <f>IF(OR(F111="Obtenu",F111="Non applicable",D111=""),"",TODAY()-D111)</f>
        <v/>
      </c>
      <c r="J111" s="5">
        <f>IF(AND(F111&lt;&gt;"Obtenu",F111&lt;&gt;"Non applicable",D111&lt;&gt;"",(TODAY()-D111)&gt;5),"RETARD","")</f>
        <v/>
      </c>
    </row>
    <row r="112">
      <c r="A112" s="5" t="n"/>
      <c r="B112" s="5" t="n"/>
      <c r="C112" s="5" t="n"/>
      <c r="D112" s="6" t="n"/>
      <c r="E112" s="5" t="inlineStr">
        <is>
          <t>Certificat d'origine</t>
        </is>
      </c>
      <c r="F112" s="5" t="inlineStr">
        <is>
          <t>En attente</t>
        </is>
      </c>
      <c r="G112" s="6" t="n"/>
      <c r="H112" s="5" t="n"/>
      <c r="I112" s="5">
        <f>IF(OR(F112="Obtenu",F112="Non applicable",D112=""),"",TODAY()-D112)</f>
        <v/>
      </c>
      <c r="J112" s="5">
        <f>IF(AND(F112&lt;&gt;"Obtenu",F112&lt;&gt;"Non applicable",D112&lt;&gt;"",(TODAY()-D112)&gt;5),"RETARD","")</f>
        <v/>
      </c>
    </row>
    <row r="113">
      <c r="A113" s="5" t="n"/>
      <c r="B113" s="5" t="n"/>
      <c r="C113" s="5" t="n"/>
      <c r="D113" s="6" t="n"/>
      <c r="E113" s="5" t="inlineStr">
        <is>
          <t>Demande d'exoneration douaniere</t>
        </is>
      </c>
      <c r="F113" s="5" t="inlineStr">
        <is>
          <t>En attente</t>
        </is>
      </c>
      <c r="G113" s="6" t="n"/>
      <c r="H113" s="5" t="n"/>
      <c r="I113" s="5">
        <f>IF(OR(F113="Obtenu",F113="Non applicable",D113=""),"",TODAY()-D113)</f>
        <v/>
      </c>
      <c r="J113" s="5">
        <f>IF(AND(F113&lt;&gt;"Obtenu",F113&lt;&gt;"Non applicable",D113&lt;&gt;"",(TODAY()-D113)&gt;5),"RETARD","")</f>
        <v/>
      </c>
    </row>
    <row r="114">
      <c r="A114" s="5" t="n"/>
      <c r="B114" s="5" t="n"/>
      <c r="C114" s="5" t="n"/>
      <c r="D114" s="6" t="n"/>
      <c r="E114" s="5" t="inlineStr">
        <is>
          <t>Autorisation d'importation</t>
        </is>
      </c>
      <c r="F114" s="5" t="inlineStr">
        <is>
          <t>En attente</t>
        </is>
      </c>
      <c r="G114" s="6" t="n"/>
      <c r="H114" s="5" t="n"/>
      <c r="I114" s="5">
        <f>IF(OR(F114="Obtenu",F114="Non applicable",D114=""),"",TODAY()-D114)</f>
        <v/>
      </c>
      <c r="J114" s="5">
        <f>IF(AND(F114&lt;&gt;"Obtenu",F114&lt;&gt;"Non applicable",D114&lt;&gt;"",(TODAY()-D114)&gt;5),"RETARD","")</f>
        <v/>
      </c>
    </row>
    <row r="115">
      <c r="A115" s="5" t="n"/>
      <c r="B115" s="5" t="n"/>
      <c r="C115" s="5" t="n"/>
      <c r="D115" s="6" t="n"/>
      <c r="E115" s="5" t="inlineStr">
        <is>
          <t>Manifeste de cargaison</t>
        </is>
      </c>
      <c r="F115" s="5" t="inlineStr">
        <is>
          <t>En attente</t>
        </is>
      </c>
      <c r="G115" s="6" t="n"/>
      <c r="H115" s="5" t="n"/>
      <c r="I115" s="5">
        <f>IF(OR(F115="Obtenu",F115="Non applicable",D115=""),"",TODAY()-D115)</f>
        <v/>
      </c>
      <c r="J115" s="5">
        <f>IF(AND(F115&lt;&gt;"Obtenu",F115&lt;&gt;"Non applicable",D115&lt;&gt;"",(TODAY()-D115)&gt;5),"RETARD","")</f>
        <v/>
      </c>
    </row>
    <row r="116">
      <c r="A116" s="5" t="n"/>
      <c r="B116" s="5" t="n"/>
      <c r="C116" s="5" t="n"/>
      <c r="D116" s="6" t="n"/>
      <c r="E116" s="5" t="inlineStr">
        <is>
          <t>Autorisation ministerielle complementaire (si applicable)</t>
        </is>
      </c>
      <c r="F116" s="5" t="inlineStr">
        <is>
          <t>En attente</t>
        </is>
      </c>
      <c r="G116" s="6" t="n"/>
      <c r="H116" s="5" t="n"/>
      <c r="I116" s="5">
        <f>IF(OR(F116="Obtenu",F116="Non applicable",D116=""),"",TODAY()-D116)</f>
        <v/>
      </c>
      <c r="J116" s="5">
        <f>IF(AND(F116&lt;&gt;"Obtenu",F116&lt;&gt;"Non applicable",D116&lt;&gt;"",(TODAY()-D116)&gt;5),"RETARD","")</f>
        <v/>
      </c>
    </row>
    <row r="117">
      <c r="A117" s="5" t="n"/>
      <c r="B117" s="5" t="n"/>
      <c r="C117" s="5" t="n"/>
      <c r="D117" s="6" t="n"/>
      <c r="E117" s="5" t="inlineStr">
        <is>
          <t>Facture commerciale</t>
        </is>
      </c>
      <c r="F117" s="5" t="inlineStr">
        <is>
          <t>En attente</t>
        </is>
      </c>
      <c r="G117" s="6" t="n"/>
      <c r="H117" s="5" t="n"/>
      <c r="I117" s="5">
        <f>IF(OR(F117="Obtenu",F117="Non applicable",D117=""),"",TODAY()-D117)</f>
        <v/>
      </c>
      <c r="J117" s="5">
        <f>IF(AND(F117&lt;&gt;"Obtenu",F117&lt;&gt;"Non applicable",D117&lt;&gt;"",(TODAY()-D117)&gt;5),"RETARD","")</f>
        <v/>
      </c>
    </row>
    <row r="118">
      <c r="A118" s="5" t="n"/>
      <c r="B118" s="5" t="n"/>
      <c r="C118" s="5" t="n"/>
      <c r="D118" s="6" t="n"/>
      <c r="E118" s="5" t="inlineStr">
        <is>
          <t>Liste de colisage (packing list)</t>
        </is>
      </c>
      <c r="F118" s="5" t="inlineStr">
        <is>
          <t>En attente</t>
        </is>
      </c>
      <c r="G118" s="6" t="n"/>
      <c r="H118" s="5" t="n"/>
      <c r="I118" s="5">
        <f>IF(OR(F118="Obtenu",F118="Non applicable",D118=""),"",TODAY()-D118)</f>
        <v/>
      </c>
      <c r="J118" s="5">
        <f>IF(AND(F118&lt;&gt;"Obtenu",F118&lt;&gt;"Non applicable",D118&lt;&gt;"",(TODAY()-D118)&gt;5),"RETARD","")</f>
        <v/>
      </c>
    </row>
    <row r="119">
      <c r="A119" s="5" t="n"/>
      <c r="B119" s="5" t="n"/>
      <c r="C119" s="5" t="n"/>
      <c r="D119" s="6" t="n"/>
      <c r="E119" s="5" t="inlineStr">
        <is>
          <t>Certificat d'origine</t>
        </is>
      </c>
      <c r="F119" s="5" t="inlineStr">
        <is>
          <t>En attente</t>
        </is>
      </c>
      <c r="G119" s="6" t="n"/>
      <c r="H119" s="5" t="n"/>
      <c r="I119" s="5">
        <f>IF(OR(F119="Obtenu",F119="Non applicable",D119=""),"",TODAY()-D119)</f>
        <v/>
      </c>
      <c r="J119" s="5">
        <f>IF(AND(F119&lt;&gt;"Obtenu",F119&lt;&gt;"Non applicable",D119&lt;&gt;"",(TODAY()-D119)&gt;5),"RETARD","")</f>
        <v/>
      </c>
    </row>
    <row r="120">
      <c r="A120" s="5" t="n"/>
      <c r="B120" s="5" t="n"/>
      <c r="C120" s="5" t="n"/>
      <c r="D120" s="6" t="n"/>
      <c r="E120" s="5" t="inlineStr">
        <is>
          <t>Demande d'exoneration douaniere</t>
        </is>
      </c>
      <c r="F120" s="5" t="inlineStr">
        <is>
          <t>En attente</t>
        </is>
      </c>
      <c r="G120" s="6" t="n"/>
      <c r="H120" s="5" t="n"/>
      <c r="I120" s="5">
        <f>IF(OR(F120="Obtenu",F120="Non applicable",D120=""),"",TODAY()-D120)</f>
        <v/>
      </c>
      <c r="J120" s="5">
        <f>IF(AND(F120&lt;&gt;"Obtenu",F120&lt;&gt;"Non applicable",D120&lt;&gt;"",(TODAY()-D120)&gt;5),"RETARD","")</f>
        <v/>
      </c>
    </row>
    <row r="121">
      <c r="A121" s="5" t="n"/>
      <c r="B121" s="5" t="n"/>
      <c r="C121" s="5" t="n"/>
      <c r="D121" s="6" t="n"/>
      <c r="E121" s="5" t="inlineStr">
        <is>
          <t>Autorisation d'importation</t>
        </is>
      </c>
      <c r="F121" s="5" t="inlineStr">
        <is>
          <t>En attente</t>
        </is>
      </c>
      <c r="G121" s="6" t="n"/>
      <c r="H121" s="5" t="n"/>
      <c r="I121" s="5">
        <f>IF(OR(F121="Obtenu",F121="Non applicable",D121=""),"",TODAY()-D121)</f>
        <v/>
      </c>
      <c r="J121" s="5">
        <f>IF(AND(F121&lt;&gt;"Obtenu",F121&lt;&gt;"Non applicable",D121&lt;&gt;"",(TODAY()-D121)&gt;5),"RETARD","")</f>
        <v/>
      </c>
    </row>
    <row r="122">
      <c r="A122" s="5" t="n"/>
      <c r="B122" s="5" t="n"/>
      <c r="C122" s="5" t="n"/>
      <c r="D122" s="6" t="n"/>
      <c r="E122" s="5" t="inlineStr">
        <is>
          <t>Manifeste de cargaison</t>
        </is>
      </c>
      <c r="F122" s="5" t="inlineStr">
        <is>
          <t>En attente</t>
        </is>
      </c>
      <c r="G122" s="6" t="n"/>
      <c r="H122" s="5" t="n"/>
      <c r="I122" s="5">
        <f>IF(OR(F122="Obtenu",F122="Non applicable",D122=""),"",TODAY()-D122)</f>
        <v/>
      </c>
      <c r="J122" s="5">
        <f>IF(AND(F122&lt;&gt;"Obtenu",F122&lt;&gt;"Non applicable",D122&lt;&gt;"",(TODAY()-D122)&gt;5),"RETARD","")</f>
        <v/>
      </c>
    </row>
    <row r="123">
      <c r="A123" s="5" t="n"/>
      <c r="B123" s="5" t="n"/>
      <c r="C123" s="5" t="n"/>
      <c r="D123" s="6" t="n"/>
      <c r="E123" s="5" t="inlineStr">
        <is>
          <t>Autorisation ministerielle complementaire (si applicable)</t>
        </is>
      </c>
      <c r="F123" s="5" t="inlineStr">
        <is>
          <t>En attente</t>
        </is>
      </c>
      <c r="G123" s="6" t="n"/>
      <c r="H123" s="5" t="n"/>
      <c r="I123" s="5">
        <f>IF(OR(F123="Obtenu",F123="Non applicable",D123=""),"",TODAY()-D123)</f>
        <v/>
      </c>
      <c r="J123" s="5">
        <f>IF(AND(F123&lt;&gt;"Obtenu",F123&lt;&gt;"Non applicable",D123&lt;&gt;"",(TODAY()-D123)&gt;5),"RETARD","")</f>
        <v/>
      </c>
    </row>
    <row r="124">
      <c r="A124" s="5" t="n"/>
      <c r="B124" s="5" t="n"/>
      <c r="C124" s="5" t="n"/>
      <c r="D124" s="6" t="n"/>
      <c r="E124" s="5" t="inlineStr">
        <is>
          <t>Facture commerciale</t>
        </is>
      </c>
      <c r="F124" s="5" t="inlineStr">
        <is>
          <t>En attente</t>
        </is>
      </c>
      <c r="G124" s="6" t="n"/>
      <c r="H124" s="5" t="n"/>
      <c r="I124" s="5">
        <f>IF(OR(F124="Obtenu",F124="Non applicable",D124=""),"",TODAY()-D124)</f>
        <v/>
      </c>
      <c r="J124" s="5">
        <f>IF(AND(F124&lt;&gt;"Obtenu",F124&lt;&gt;"Non applicable",D124&lt;&gt;"",(TODAY()-D124)&gt;5),"RETARD","")</f>
        <v/>
      </c>
    </row>
    <row r="125">
      <c r="A125" s="5" t="n"/>
      <c r="B125" s="5" t="n"/>
      <c r="C125" s="5" t="n"/>
      <c r="D125" s="6" t="n"/>
      <c r="E125" s="5" t="inlineStr">
        <is>
          <t>Liste de colisage (packing list)</t>
        </is>
      </c>
      <c r="F125" s="5" t="inlineStr">
        <is>
          <t>En attente</t>
        </is>
      </c>
      <c r="G125" s="6" t="n"/>
      <c r="H125" s="5" t="n"/>
      <c r="I125" s="5">
        <f>IF(OR(F125="Obtenu",F125="Non applicable",D125=""),"",TODAY()-D125)</f>
        <v/>
      </c>
      <c r="J125" s="5">
        <f>IF(AND(F125&lt;&gt;"Obtenu",F125&lt;&gt;"Non applicable",D125&lt;&gt;"",(TODAY()-D125)&gt;5),"RETARD","")</f>
        <v/>
      </c>
    </row>
    <row r="126">
      <c r="A126" s="5" t="n"/>
      <c r="B126" s="5" t="n"/>
      <c r="C126" s="5" t="n"/>
      <c r="D126" s="6" t="n"/>
      <c r="E126" s="5" t="inlineStr">
        <is>
          <t>Certificat d'origine</t>
        </is>
      </c>
      <c r="F126" s="5" t="inlineStr">
        <is>
          <t>En attente</t>
        </is>
      </c>
      <c r="G126" s="6" t="n"/>
      <c r="H126" s="5" t="n"/>
      <c r="I126" s="5">
        <f>IF(OR(F126="Obtenu",F126="Non applicable",D126=""),"",TODAY()-D126)</f>
        <v/>
      </c>
      <c r="J126" s="5">
        <f>IF(AND(F126&lt;&gt;"Obtenu",F126&lt;&gt;"Non applicable",D126&lt;&gt;"",(TODAY()-D126)&gt;5),"RETARD","")</f>
        <v/>
      </c>
    </row>
    <row r="127">
      <c r="A127" s="5" t="n"/>
      <c r="B127" s="5" t="n"/>
      <c r="C127" s="5" t="n"/>
      <c r="D127" s="6" t="n"/>
      <c r="E127" s="5" t="inlineStr">
        <is>
          <t>Demande d'exoneration douaniere</t>
        </is>
      </c>
      <c r="F127" s="5" t="inlineStr">
        <is>
          <t>En attente</t>
        </is>
      </c>
      <c r="G127" s="6" t="n"/>
      <c r="H127" s="5" t="n"/>
      <c r="I127" s="5">
        <f>IF(OR(F127="Obtenu",F127="Non applicable",D127=""),"",TODAY()-D127)</f>
        <v/>
      </c>
      <c r="J127" s="5">
        <f>IF(AND(F127&lt;&gt;"Obtenu",F127&lt;&gt;"Non applicable",D127&lt;&gt;"",(TODAY()-D127)&gt;5),"RETARD","")</f>
        <v/>
      </c>
    </row>
    <row r="128">
      <c r="A128" s="5" t="n"/>
      <c r="B128" s="5" t="n"/>
      <c r="C128" s="5" t="n"/>
      <c r="D128" s="6" t="n"/>
      <c r="E128" s="5" t="inlineStr">
        <is>
          <t>Autorisation d'importation</t>
        </is>
      </c>
      <c r="F128" s="5" t="inlineStr">
        <is>
          <t>En attente</t>
        </is>
      </c>
      <c r="G128" s="6" t="n"/>
      <c r="H128" s="5" t="n"/>
      <c r="I128" s="5">
        <f>IF(OR(F128="Obtenu",F128="Non applicable",D128=""),"",TODAY()-D128)</f>
        <v/>
      </c>
      <c r="J128" s="5">
        <f>IF(AND(F128&lt;&gt;"Obtenu",F128&lt;&gt;"Non applicable",D128&lt;&gt;"",(TODAY()-D128)&gt;5),"RETARD","")</f>
        <v/>
      </c>
    </row>
    <row r="129">
      <c r="A129" s="5" t="n"/>
      <c r="B129" s="5" t="n"/>
      <c r="C129" s="5" t="n"/>
      <c r="D129" s="6" t="n"/>
      <c r="E129" s="5" t="inlineStr">
        <is>
          <t>Manifeste de cargaison</t>
        </is>
      </c>
      <c r="F129" s="5" t="inlineStr">
        <is>
          <t>En attente</t>
        </is>
      </c>
      <c r="G129" s="6" t="n"/>
      <c r="H129" s="5" t="n"/>
      <c r="I129" s="5">
        <f>IF(OR(F129="Obtenu",F129="Non applicable",D129=""),"",TODAY()-D129)</f>
        <v/>
      </c>
      <c r="J129" s="5">
        <f>IF(AND(F129&lt;&gt;"Obtenu",F129&lt;&gt;"Non applicable",D129&lt;&gt;"",(TODAY()-D129)&gt;5),"RETARD","")</f>
        <v/>
      </c>
    </row>
    <row r="130">
      <c r="A130" s="5" t="n"/>
      <c r="B130" s="5" t="n"/>
      <c r="C130" s="5" t="n"/>
      <c r="D130" s="6" t="n"/>
      <c r="E130" s="5" t="inlineStr">
        <is>
          <t>Autorisation ministerielle complementaire (si applicable)</t>
        </is>
      </c>
      <c r="F130" s="5" t="inlineStr">
        <is>
          <t>En attente</t>
        </is>
      </c>
      <c r="G130" s="6" t="n"/>
      <c r="H130" s="5" t="n"/>
      <c r="I130" s="5">
        <f>IF(OR(F130="Obtenu",F130="Non applicable",D130=""),"",TODAY()-D130)</f>
        <v/>
      </c>
      <c r="J130" s="5">
        <f>IF(AND(F130&lt;&gt;"Obtenu",F130&lt;&gt;"Non applicable",D130&lt;&gt;"",(TODAY()-D130)&gt;5),"RETARD","")</f>
        <v/>
      </c>
    </row>
  </sheetData>
  <mergeCells count="2">
    <mergeCell ref="A1:J1"/>
    <mergeCell ref="A2:J2"/>
  </mergeCells>
  <conditionalFormatting sqref="F5:F130">
    <cfRule type="cellIs" priority="1" operator="equal" dxfId="0">
      <formula>"Obtenu"</formula>
    </cfRule>
    <cfRule type="cellIs" priority="2" operator="equal" dxfId="1">
      <formula>"Bloque"</formula>
    </cfRule>
    <cfRule type="cellIs" priority="3" operator="equal" dxfId="2">
      <formula>"En attente"</formula>
    </cfRule>
  </conditionalFormatting>
  <conditionalFormatting sqref="J5:J130">
    <cfRule type="cellIs" priority="4" operator="equal" dxfId="1">
      <formula>"RETARD"</formula>
    </cfRule>
  </conditionalFormatting>
  <dataValidations count="1">
    <dataValidation sqref="F5:F52" showDropDown="0" showInputMessage="0" showErrorMessage="0" allowBlank="1" type="list">
      <formula1>"Obtenu,En attente,Bloque,Non applicable"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8" customWidth="1" min="5" max="5"/>
    <col width="18" customWidth="1" min="6" max="6"/>
  </cols>
  <sheetData>
    <row r="1" ht="30" customHeight="1">
      <c r="A1" s="1" t="inlineStr">
        <is>
          <t>TABLEAU DE BORD - SUIVI DES DOSSIERS DE DEDOUANEMENT</t>
        </is>
      </c>
    </row>
    <row r="2" ht="18" customHeight="1">
      <c r="A2" s="2" t="inlineStr">
        <is>
          <t>Formation en Logistique Humanitaire · Module 06 · BK-BOOST Ltd.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5" ht="30" customHeight="1">
      <c r="A5" s="4" t="inlineStr">
        <is>
          <t>Shipment ID</t>
        </is>
      </c>
      <c r="B5" s="4" t="inlineStr">
        <is>
          <t>Documents requis</t>
        </is>
      </c>
      <c r="C5" s="4" t="inlineStr">
        <is>
          <t>Documents obtenus</t>
        </is>
      </c>
      <c r="D5" s="4" t="inlineStr">
        <is>
          <t>% complet</t>
        </is>
      </c>
      <c r="E5" s="4" t="inlineStr">
        <is>
          <t>Documents en retard</t>
        </is>
      </c>
      <c r="F5" s="4" t="inlineStr">
        <is>
          <t>Statut global</t>
        </is>
      </c>
    </row>
    <row r="6">
      <c r="A6" s="7" t="inlineStr">
        <is>
          <t>TCD-2026-011</t>
        </is>
      </c>
      <c r="B6" s="7">
        <f>COUNTIFS('Suivi dossiers'!$A:$A,A6,'Suivi dossiers'!$F:$F,"&lt;&gt;Non applicable",'Suivi dossiers'!$A:$A,"&lt;&gt;")</f>
        <v/>
      </c>
      <c r="C6" s="7">
        <f>COUNTIFS('Suivi dossiers'!$A:$A,A6,'Suivi dossiers'!$F:$F,"Obtenu")</f>
        <v/>
      </c>
      <c r="D6" s="8">
        <f>IF(B6=0,"",C6/B6)</f>
        <v/>
      </c>
      <c r="E6" s="7">
        <f>COUNTIFS('Suivi dossiers'!$A:$A,A6,'Suivi dossiers'!$J:$J,"RETARD")</f>
        <v/>
      </c>
      <c r="F6" s="7">
        <f>IF(B6=0,"-",IF(D6=1,"Dossier complet",IF(E6&gt;0,"A ESCALADER","En cours")))</f>
        <v/>
      </c>
    </row>
    <row r="7">
      <c r="A7" s="7" t="inlineStr">
        <is>
          <t>TCD-2026-012</t>
        </is>
      </c>
      <c r="B7" s="7">
        <f>COUNTIFS('Suivi dossiers'!$A:$A,A7,'Suivi dossiers'!$F:$F,"&lt;&gt;Non applicable",'Suivi dossiers'!$A:$A,"&lt;&gt;")</f>
        <v/>
      </c>
      <c r="C7" s="7">
        <f>COUNTIFS('Suivi dossiers'!$A:$A,A7,'Suivi dossiers'!$F:$F,"Obtenu")</f>
        <v/>
      </c>
      <c r="D7" s="8">
        <f>IF(B7=0,"",C7/B7)</f>
        <v/>
      </c>
      <c r="E7" s="7">
        <f>COUNTIFS('Suivi dossiers'!$A:$A,A7,'Suivi dossiers'!$J:$J,"RETARD")</f>
        <v/>
      </c>
      <c r="F7" s="7">
        <f>IF(B7=0,"-",IF(D7=1,"Dossier complet",IF(E7&gt;0,"A ESCALADER","En cours")))</f>
        <v/>
      </c>
    </row>
    <row r="8">
      <c r="A8" s="7" t="inlineStr">
        <is>
          <t>TCD-2026-014</t>
        </is>
      </c>
      <c r="B8" s="7">
        <f>COUNTIFS('Suivi dossiers'!$A:$A,A8,'Suivi dossiers'!$F:$F,"&lt;&gt;Non applicable",'Suivi dossiers'!$A:$A,"&lt;&gt;")</f>
        <v/>
      </c>
      <c r="C8" s="7">
        <f>COUNTIFS('Suivi dossiers'!$A:$A,A8,'Suivi dossiers'!$F:$F,"Obtenu")</f>
        <v/>
      </c>
      <c r="D8" s="8">
        <f>IF(B8=0,"",C8/B8)</f>
        <v/>
      </c>
      <c r="E8" s="7">
        <f>COUNTIFS('Suivi dossiers'!$A:$A,A8,'Suivi dossiers'!$J:$J,"RETARD")</f>
        <v/>
      </c>
      <c r="F8" s="7">
        <f>IF(B8=0,"-",IF(D8=1,"Dossier complet",IF(E8&gt;0,"A ESCALADER","En cours")))</f>
        <v/>
      </c>
    </row>
    <row r="9">
      <c r="A9" s="7" t="inlineStr">
        <is>
          <t>A COMPLETER</t>
        </is>
      </c>
      <c r="B9" s="7">
        <f>COUNTIFS('Suivi dossiers'!$A:$A,A9,'Suivi dossiers'!$F:$F,"&lt;&gt;Non applicable",'Suivi dossiers'!$A:$A,"&lt;&gt;")</f>
        <v/>
      </c>
      <c r="C9" s="7">
        <f>COUNTIFS('Suivi dossiers'!$A:$A,A9,'Suivi dossiers'!$F:$F,"Obtenu")</f>
        <v/>
      </c>
      <c r="D9" s="8">
        <f>IF(B9=0,"",C9/B9)</f>
        <v/>
      </c>
      <c r="E9" s="7">
        <f>COUNTIFS('Suivi dossiers'!$A:$A,A9,'Suivi dossiers'!$J:$J,"RETARD")</f>
        <v/>
      </c>
      <c r="F9" s="7">
        <f>IF(B9=0,"-",IF(D9=1,"Dossier complet",IF(E9&gt;0,"A ESCALADER","En cours")))</f>
        <v/>
      </c>
    </row>
    <row r="11">
      <c r="A11" s="9" t="inlineStr">
        <is>
          <t>Un dossier passe automatiquement en "A ESCALADER" des qu'au moins un document est en attente ou bloque depuis plus de 5 jours ouvres apres l'ouverture du dossier.</t>
        </is>
      </c>
    </row>
  </sheetData>
  <mergeCells count="3">
    <mergeCell ref="A2:F2"/>
    <mergeCell ref="A11:F11"/>
    <mergeCell ref="A1:F1"/>
  </mergeCells>
  <conditionalFormatting sqref="F6:F9">
    <cfRule type="cellIs" priority="1" operator="equal" dxfId="3">
      <formula>"A ESCALADER"</formula>
    </cfRule>
    <cfRule type="cellIs" priority="2" operator="equal" dxfId="0">
      <formula>"Dossier complet"</formula>
    </cfRule>
    <cfRule type="cellIs" priority="3" operator="equal" dxfId="2">
      <formula>"En cours"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2026-08-31T17:20:38Z</dcterms:created>
  <dcterms:modified xmlns:dcterms="http://purl.org/dc/terms/" xmlns:xsi="http://www.w3.org/2001/XMLSchema-instance" xsi:type="dcterms:W3CDTF">2026-08-31T17:20:38Z</dcterms:modified>
</cp:coreProperties>
</file>