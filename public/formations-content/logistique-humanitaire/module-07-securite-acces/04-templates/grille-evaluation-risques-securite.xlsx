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lle d'évaluation" sheetId="1" state="visible" r:id="rId3"/>
    <sheet name="Synthèse" sheetId="2" state="visible" r:id="rId4"/>
  </sheets>
  <definedNames>
    <definedName function="false" hidden="false" localSheetId="0" name="_xlnm.Print_Area" vbProcedure="false">'Grille d''évaluation'!$A$1:$G$20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<sst xmlns="http://schemas.openxmlformats.org/spreadsheetml/2006/main" count="30" uniqueCount="29">
  <si>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GRILLE D'ÉVALUATION DES RISQUES SÉCURITAIRES — ITINÉRAIRE / MISSION</t>
  </si>
  <si>
    <t xml:space="preserve">Formation en Logistique Humanitaire · Module 07 · BK-BOOST Ltd.</t>
  </si>
  <si>
    <t xml:space="preserve">À compléter avant tout mouvement logistique en zone à risque. Probabilité et impact s'évaluent de 1 (très faible) à 5 (très élevé). Le score et l'alerte se calculent automatiquement.</t>
  </si>
  <si>
    <t xml:space="preserve">Risque identifié</t>
  </si>
  <si>
    <t xml:space="preserve">Probabilité (1-5)</t>
  </si>
  <si>
    <t xml:space="preserve">Impact (1-5)</t>
  </si>
  <si>
    <t xml:space="preserve">Score (P × I)</t>
  </si>
  <si>
    <t xml:space="preserve">Mesure d'atténuation</t>
  </si>
  <si>
    <t xml:space="preserve">Risque résiduel (1-5)</t>
  </si>
  <si>
    <t xml:space="preserve">Alerte</t>
  </si>
  <si>
    <t xml:space="preserve">EXEMPLE — Checkpoint tenu par un groupe armé non étatique sur l'axe principal</t>
  </si>
  <si>
    <t xml:space="preserve">Négociation d'accès préalable via le réseau CICR/point focal local ; convoi annoncé à l'avance ; pas de matériel à connotation militaire ou double usage</t>
  </si>
  <si>
    <t xml:space="preserve">EXEMPLE — Tronçon de route non entretenu, risque d'enlisement en saison des pluies</t>
  </si>
  <si>
    <t xml:space="preserve">Reconnaissance véhicule léger 24h avant ; kit de désensablement à bord ; fenêtre de départ ajustée à la météo</t>
  </si>
  <si>
    <t xml:space="preserve">EXEMPLE — Zone de signalement récent d'embuscade (&lt; 30 jours)</t>
  </si>
  <si>
    <t xml:space="preserve">Départ en convoi groupé, horaires de circulation en journée uniquement, check-in radio toutes les heures</t>
  </si>
  <si>
    <t xml:space="preserve">SYNTHÈSE DES RISQUES PAR NIVEAU DE SÉVÉRITÉ</t>
  </si>
  <si>
    <t xml:space="preserve">Bande de sévérité (score P × I)</t>
  </si>
  <si>
    <t xml:space="preserve">Plage de score</t>
  </si>
  <si>
    <t xml:space="preserve">Nombre de risques</t>
  </si>
  <si>
    <t xml:space="preserve">Faible</t>
  </si>
  <si>
    <t xml:space="preserve">1 - 5</t>
  </si>
  <si>
    <t xml:space="preserve">Modéré</t>
  </si>
  <si>
    <t xml:space="preserve">6 - 10</t>
  </si>
  <si>
    <t xml:space="preserve">Élevé</t>
  </si>
  <si>
    <t xml:space="preserve">11 - 15</t>
  </si>
  <si>
    <t xml:space="preserve">Critique</t>
  </si>
  <si>
    <t xml:space="preserve">16 - 25</t>
  </si>
  <si>
    <t xml:space="preserve">Risques résiduels nécessitant validation hiérarchique (résiduel ≥ 4)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</si>
</sst>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2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30" hidden="false" customHeight="true" outlineLevel="0" collapsed="false">
      <c r="A6" s="5" t="s">
        <v>10</v>
      </c>
      <c r="B6" s="6" t="n">
        <v>4</v>
      </c>
      <c r="C6" s="6" t="n">
        <v>5</v>
      </c>
      <c r="D6" s="6" t="n">
        <f aca="false">B6*C6</f>
        <v>20</v>
      </c>
      <c r="E6" s="5" t="s">
        <v>11</v>
      </c>
      <c r="F6" s="6" t="n">
        <v>2</v>
      </c>
      <c r="G6" s="6" t="str">
        <f aca="false">IF(F6&gt;=4,"⚠ à valider hiérarchie","")</f>
        <v/>
      </c>
    </row>
    <row r="7" customFormat="false" ht="30" hidden="false" customHeight="true" outlineLevel="0" collapsed="false">
      <c r="A7" s="5" t="s">
        <v>12</v>
      </c>
      <c r="B7" s="6" t="n">
        <v>3</v>
      </c>
      <c r="C7" s="6" t="n">
        <v>3</v>
      </c>
      <c r="D7" s="6" t="n">
        <f aca="false">B7*C7</f>
        <v>9</v>
      </c>
      <c r="E7" s="5" t="s">
        <v>13</v>
      </c>
      <c r="F7" s="6" t="n">
        <v>2</v>
      </c>
      <c r="G7" s="6" t="str">
        <f aca="false">IF(F7&gt;=4,"⚠ à valider hiérarchie","")</f>
        <v/>
      </c>
    </row>
    <row r="8" customFormat="false" ht="30" hidden="false" customHeight="true" outlineLevel="0" collapsed="false">
      <c r="A8" s="5" t="s">
        <v>14</v>
      </c>
      <c r="B8" s="6" t="n">
        <v>2</v>
      </c>
      <c r="C8" s="6" t="n">
        <v>5</v>
      </c>
      <c r="D8" s="6" t="n">
        <f aca="false">B8*C8</f>
        <v>10</v>
      </c>
      <c r="E8" s="5" t="s">
        <v>15</v>
      </c>
      <c r="F8" s="6" t="n">
        <v>2</v>
      </c>
      <c r="G8" s="6" t="str">
        <f aca="false">IF(F8&gt;=4,"⚠ à valider hiérarchie","")</f>
        <v/>
      </c>
    </row>
    <row r="9" customFormat="false" ht="30" hidden="false" customHeight="true" outlineLevel="0" collapsed="false">
      <c r="A9" s="7"/>
      <c r="B9" s="8"/>
      <c r="C9" s="8"/>
      <c r="D9" s="8" t="str">
        <f aca="false">IF(AND(B9="",C9=""),"",B9*C9)</f>
        <v/>
      </c>
      <c r="E9" s="7"/>
      <c r="F9" s="8"/>
      <c r="G9" s="8" t="str">
        <f aca="false">IF(F9="","",IF(F9&gt;=4,"⚠ à valider hiérarchie",""))</f>
        <v/>
      </c>
    </row>
    <row r="10" customFormat="false" ht="30" hidden="false" customHeight="true" outlineLevel="0" collapsed="false">
      <c r="A10" s="7"/>
      <c r="B10" s="8"/>
      <c r="C10" s="8"/>
      <c r="D10" s="8" t="str">
        <f aca="false">IF(AND(B10="",C10=""),"",B10*C10)</f>
        <v/>
      </c>
      <c r="E10" s="7"/>
      <c r="F10" s="8"/>
      <c r="G10" s="8" t="str">
        <f aca="false">IF(F10="","",IF(F10&gt;=4,"⚠ à valider hiérarchie",""))</f>
        <v/>
      </c>
    </row>
    <row r="11" customFormat="false" ht="30" hidden="false" customHeight="true" outlineLevel="0" collapsed="false">
      <c r="A11" s="7"/>
      <c r="B11" s="8"/>
      <c r="C11" s="8"/>
      <c r="D11" s="8" t="str">
        <f aca="false">IF(AND(B11="",C11=""),"",B11*C11)</f>
        <v/>
      </c>
      <c r="E11" s="7"/>
      <c r="F11" s="8"/>
      <c r="G11" s="8" t="str">
        <f aca="false">IF(F11="","",IF(F11&gt;=4,"⚠ à valider hiérarchie",""))</f>
        <v/>
      </c>
    </row>
    <row r="12" customFormat="false" ht="30" hidden="false" customHeight="true" outlineLevel="0" collapsed="false">
      <c r="A12" s="7"/>
      <c r="B12" s="8"/>
      <c r="C12" s="8"/>
      <c r="D12" s="8" t="str">
        <f aca="false">IF(AND(B12="",C12=""),"",B12*C12)</f>
        <v/>
      </c>
      <c r="E12" s="7"/>
      <c r="F12" s="8"/>
      <c r="G12" s="8" t="str">
        <f aca="false">IF(F12="","",IF(F12&gt;=4,"⚠ à valider hiérarchie",""))</f>
        <v/>
      </c>
    </row>
    <row r="13" customFormat="false" ht="30" hidden="false" customHeight="true" outlineLevel="0" collapsed="false">
      <c r="A13" s="7"/>
      <c r="B13" s="8"/>
      <c r="C13" s="8"/>
      <c r="D13" s="8" t="str">
        <f aca="false">IF(AND(B13="",C13=""),"",B13*C13)</f>
        <v/>
      </c>
      <c r="E13" s="7"/>
      <c r="F13" s="8"/>
      <c r="G13" s="8" t="str">
        <f aca="false">IF(F13="","",IF(F13&gt;=4,"⚠ à valider hiérarchie",""))</f>
        <v/>
      </c>
    </row>
    <row r="14" customFormat="false" ht="30" hidden="false" customHeight="true" outlineLevel="0" collapsed="false">
      <c r="A14" s="7"/>
      <c r="B14" s="8"/>
      <c r="C14" s="8"/>
      <c r="D14" s="8" t="str">
        <f aca="false">IF(AND(B14="",C14=""),"",B14*C14)</f>
        <v/>
      </c>
      <c r="E14" s="7"/>
      <c r="F14" s="8"/>
      <c r="G14" s="8" t="str">
        <f aca="false">IF(F14="","",IF(F14&gt;=4,"⚠ à valider hiérarchie",""))</f>
        <v/>
      </c>
    </row>
    <row r="15" customFormat="false" ht="30" hidden="false" customHeight="true" outlineLevel="0" collapsed="false">
      <c r="A15" s="7"/>
      <c r="B15" s="8"/>
      <c r="C15" s="8"/>
      <c r="D15" s="8" t="str">
        <f aca="false">IF(AND(B15="",C15=""),"",B15*C15)</f>
        <v/>
      </c>
      <c r="E15" s="7"/>
      <c r="F15" s="8"/>
      <c r="G15" s="8" t="str">
        <f aca="false">IF(F15="","",IF(F15&gt;=4,"⚠ à valider hiérarchie",""))</f>
        <v/>
      </c>
    </row>
    <row r="16" customFormat="false" ht="30" hidden="false" customHeight="true" outlineLevel="0" collapsed="false">
      <c r="A16" s="7"/>
      <c r="B16" s="8"/>
      <c r="C16" s="8"/>
      <c r="D16" s="8" t="str">
        <f aca="false">IF(AND(B16="",C16=""),"",B16*C16)</f>
        <v/>
      </c>
      <c r="E16" s="7"/>
      <c r="F16" s="8"/>
      <c r="G16" s="8" t="str">
        <f aca="false">IF(F16="","",IF(F16&gt;=4,"⚠ à valider hiérarchie",""))</f>
        <v/>
      </c>
    </row>
    <row r="17" customFormat="false" ht="30" hidden="false" customHeight="true" outlineLevel="0" collapsed="false">
      <c r="A17" s="7"/>
      <c r="B17" s="8"/>
      <c r="C17" s="8"/>
      <c r="D17" s="8" t="str">
        <f aca="false">IF(AND(B17="",C17=""),"",B17*C17)</f>
        <v/>
      </c>
      <c r="E17" s="7"/>
      <c r="F17" s="8"/>
      <c r="G17" s="8" t="str">
        <f aca="false">IF(F17="","",IF(F17&gt;=4,"⚠ à valider hiérarchie",""))</f>
        <v/>
      </c>
    </row>
    <row r="18" customFormat="false" ht="30" hidden="false" customHeight="true" outlineLevel="0" collapsed="false">
      <c r="A18" s="7"/>
      <c r="B18" s="8"/>
      <c r="C18" s="8"/>
      <c r="D18" s="8" t="str">
        <f aca="false">IF(AND(B18="",C18=""),"",B18*C18)</f>
        <v/>
      </c>
      <c r="E18" s="7"/>
      <c r="F18" s="8"/>
      <c r="G18" s="8" t="str">
        <f aca="false">IF(F18="","",IF(F18&gt;=4,"⚠ à valider hiérarchie",""))</f>
        <v/>
      </c>
    </row>
    <row r="19" customFormat="false" ht="30" hidden="false" customHeight="true" outlineLevel="0" collapsed="false">
      <c r="A19" s="7"/>
      <c r="B19" s="8"/>
      <c r="C19" s="8"/>
      <c r="D19" s="8" t="str">
        <f aca="false">IF(AND(B19="",C19=""),"",B19*C19)</f>
        <v/>
      </c>
      <c r="E19" s="7"/>
      <c r="F19" s="8"/>
      <c r="G19" s="8" t="str">
        <f aca="false">IF(F19="","",IF(F19&gt;=4,"⚠ à valider hiérarchie",""))</f>
        <v/>
      </c>
    </row>
    <row r="20" customFormat="false" ht="30" hidden="false" customHeight="true" outlineLevel="0" collapsed="false">
      <c r="A20" s="7"/>
      <c r="B20" s="8"/>
      <c r="C20" s="8"/>
      <c r="D20" s="8" t="str">
        <f aca="false">IF(AND(B20="",C20=""),"",B20*C20)</f>
        <v/>
      </c>
      <c r="E20" s="7"/>
      <c r="F20" s="8"/>
      <c r="G20" s="8" t="str">
        <f aca="false">IF(F20="","",IF(F20&gt;=4,"⚠ à valider hiérarchie",""))</f>
        <v/>
      </c>
    </row>
  </sheetData>
  <mergeCells count="3">
    <mergeCell ref="A1:G1"/>
    <mergeCell ref="A2:G2"/>
    <mergeCell ref="A3:G3"/>
  </mergeCells>
  <conditionalFormatting sqref="D6:D20">
    <cfRule type="cellIs" priority="2" operator="greaterThanOrEqual" aboveAverage="0" equalAverage="0" bottom="0" percent="0" rank="0" text="" dxfId="0">
      <formula>15</formula>
    </cfRule>
  </conditionalFormatting>
  <conditionalFormatting sqref="G6:G20">
    <cfRule type="expression" priority="3" aboveAverage="0" equalAverage="0" bottom="0" percent="0" rank="0" text="" dxfId="0">
      <formula>G6&lt;&gt;""</formula>
    </cfRule>
  </conditionalFormatting>
  <dataValidations count="1">
    <dataValidation allowBlank="true" error="Entrez un nombre entier de 1 à 5." errorStyle="stop" errorTitle="Valeur invalide" operator="between" showDropDown="false" showErrorMessage="true" showInputMessage="false" sqref="B6:C20 F6:F2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27.75" hidden="false" customHeight="true" outlineLevel="0" collapsed="false">
      <c r="A1" s="1" t="s">
        <v>16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27.75" hidden="false" customHeight="true" outlineLevel="0" collapsed="false">
      <c r="A4" s="4" t="s">
        <v>17</v>
      </c>
      <c r="B4" s="4" t="s">
        <v>18</v>
      </c>
      <c r="C4" s="4" t="s">
        <v>19</v>
      </c>
    </row>
    <row r="5" customFormat="false" ht="15" hidden="false" customHeight="false" outlineLevel="0" collapsed="false">
      <c r="A5" s="9" t="s">
        <v>20</v>
      </c>
      <c r="B5" s="8" t="s">
        <v>21</v>
      </c>
      <c r="C5" s="10" t="n">
        <f aca="false">COUNTIFS('Grille d''évaluation'!$D$6:$D$20,"&gt;="&amp;1,'Grille d''évaluation'!$D$6:$D$20,"&lt;="&amp;5)</f>
        <v>0</v>
      </c>
    </row>
    <row r="6" customFormat="false" ht="15" hidden="false" customHeight="false" outlineLevel="0" collapsed="false">
      <c r="A6" s="9" t="s">
        <v>22</v>
      </c>
      <c r="B6" s="8" t="s">
        <v>23</v>
      </c>
      <c r="C6" s="10" t="n">
        <f aca="false">COUNTIFS('Grille d''évaluation'!$D$6:$D$20,"&gt;="&amp;6,'Grille d''évaluation'!$D$6:$D$20,"&lt;="&amp;10)</f>
        <v>2</v>
      </c>
    </row>
    <row r="7" customFormat="false" ht="15" hidden="false" customHeight="false" outlineLevel="0" collapsed="false">
      <c r="A7" s="9" t="s">
        <v>24</v>
      </c>
      <c r="B7" s="8" t="s">
        <v>25</v>
      </c>
      <c r="C7" s="10" t="n">
        <f aca="false">COUNTIFS('Grille d''évaluation'!$D$6:$D$20,"&gt;="&amp;11,'Grille d''évaluation'!$D$6:$D$20,"&lt;="&amp;15)</f>
        <v>0</v>
      </c>
    </row>
    <row r="8" customFormat="false" ht="15" hidden="false" customHeight="false" outlineLevel="0" collapsed="false">
      <c r="A8" s="9" t="s">
        <v>26</v>
      </c>
      <c r="B8" s="8" t="s">
        <v>27</v>
      </c>
      <c r="C8" s="10" t="n">
        <f aca="false">COUNTIFS('Grille d''évaluation'!$D$6:$D$20,"&gt;="&amp;16,'Grille d''évaluation'!$D$6:$D$20,"&lt;="&amp;25)</f>
        <v>1</v>
      </c>
    </row>
    <row r="10" customFormat="false" ht="15" hidden="false" customHeight="false" outlineLevel="0" collapsed="false">
      <c r="A10" s="11" t="s">
        <v>28</v>
      </c>
      <c r="B10" s="11"/>
      <c r="C10" s="10" t="n">
        <f aca="false">COUNTIFS('Grille d''évaluation'!$F$6:$F$20,"&gt;=4")</f>
        <v>0</v>
      </c>
    </row>
  </sheetData>
  <mergeCells count="3">
    <mergeCell ref="A1:C1"/>
    <mergeCell ref="A2:C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2026-08-31T17:21:21Z</dcterms:created>
  <dc:creator>openpyxl</dc:creator>
  <dc:description/>
  <dc:language>fr-FR</dc:language>
  <cp:lastModifiedBy/>
  <dcterms:modified xsi:type="dcterms:W3CDTF">2026-08-31T17:21:21Z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