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onnées brutes" sheetId="1" state="visible" r:id="rId3"/>
    <sheet name="Tableau de bord KP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<sst xmlns="http://schemas.openxmlformats.org/spreadsheetml/2006/main" count="111" uniqueCount="45">
  <si>
    <t xml:space="preserve">TABLEAU DE BORD KPI LOGISTIQUE — DONNÉES BRUTES</t>
  </si>
  <si>
    <t xml:space="preserve">Saisie continue — une ligne par mouvement (livraison, rupture, retard). Ne jamais remplir en une seule fois en fin de mois.</t>
  </si>
  <si>
    <t xml:space="preserve">Date de commande</t>
  </si>
  <si>
    <t xml:space="preserve">Date de livraison réelle</t>
  </si>
  <si>
    <t xml:space="preserve">Site</t>
  </si>
  <si>
    <t xml:space="preserve">Article</t>
  </si>
  <si>
    <t xml:space="preserve">Qté commandée</t>
  </si>
  <si>
    <t xml:space="preserve">Qté livrée</t>
  </si>
  <si>
    <t xml:space="preserve">Statut</t>
  </si>
  <si>
    <t xml:space="preserve">Coût total (USD)</t>
  </si>
  <si>
    <t xml:space="preserve">Bénéficiaires couverts</t>
  </si>
  <si>
    <t xml:space="preserve">Incident (texte libre)</t>
  </si>
  <si>
    <t xml:space="preserve">Délai (jours)</t>
  </si>
  <si>
    <t xml:space="preserve">Goma</t>
  </si>
  <si>
    <t xml:space="preserve">Kits médicaux</t>
  </si>
  <si>
    <t xml:space="preserve">Livré</t>
  </si>
  <si>
    <t xml:space="preserve">Bâches plastiques</t>
  </si>
  <si>
    <t xml:space="preserve">Intrants nutritionnels</t>
  </si>
  <si>
    <t xml:space="preserve">Rupture</t>
  </si>
  <si>
    <t xml:space="preserve">Fournisseur en rupture, relance en cours</t>
  </si>
  <si>
    <t xml:space="preserve">Kits WASH</t>
  </si>
  <si>
    <t xml:space="preserve">Pièces détachées véhicule</t>
  </si>
  <si>
    <t xml:space="preserve">Retard</t>
  </si>
  <si>
    <t xml:space="preserve">Retard dédouanement 8 jours</t>
  </si>
  <si>
    <t xml:space="preserve">Abéché</t>
  </si>
  <si>
    <t xml:space="preserve">Carburant (fûts)</t>
  </si>
  <si>
    <t xml:space="preserve">20 unités endommagées au transport</t>
  </si>
  <si>
    <t xml:space="preserve">Stock épuisé, seuil de commande dépassé</t>
  </si>
  <si>
    <t xml:space="preserve">Juba</t>
  </si>
  <si>
    <t xml:space="preserve">Camion immobilisé 9 jours pour panne</t>
  </si>
  <si>
    <t xml:space="preserve">Maiduguri</t>
  </si>
  <si>
    <t xml:space="preserve">Maiduguri Nord</t>
  </si>
  <si>
    <t xml:space="preserve">Carnet papier site secondaire, saisi a posteriori</t>
  </si>
  <si>
    <t xml:space="preserve">Retard contrôle qualité</t>
  </si>
  <si>
    <t xml:space="preserve">TABLEAU DE BORD KPI LOGISTIQUE — JUILLET 2026</t>
  </si>
  <si>
    <t xml:space="preserve">Les cellules ci-dessous sont calculées automatiquement à partir de l'onglet "Données brutes". Ne pas saisir de valeur en dur.</t>
  </si>
  <si>
    <t xml:space="preserve">Taux de rupture de stock global</t>
  </si>
  <si>
    <t xml:space="preserve">Lead time moyen (jours, commandes livrées)</t>
  </si>
  <si>
    <t xml:space="preserve">Coût par bénéficiaire (USD)</t>
  </si>
  <si>
    <t xml:space="preserve">Récapitulatif par site</t>
  </si>
  <si>
    <t xml:space="preserve">Taux de rupture</t>
  </si>
  <si>
    <t xml:space="preserve">Lead time moyen (j)</t>
  </si>
  <si>
    <t xml:space="preserve">Coût / bénéficiaire (USD)</t>
  </si>
  <si>
    <t xml:space="preserve">Nb lignes</t>
  </si>
  <si>
    <t xml:space="preserve">Note : "Maiduguri Nord" (orthographe non standardisée dans les données brutes) n'est volontairement pas listé ici — voir Module 03-Exercices sur les pièges de saisie incohérente.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</si>
</sst>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%"/>
    <numFmt numFmtId="167" formatCode="0.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E3A8A"/>
      <name val="Arial"/>
      <family val="0"/>
      <charset val="1"/>
    </font>
    <font>
      <b val="true"/>
      <sz val="12"/>
      <color rgb="FF1E3A8A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5" hidden="false" customHeight="false" outlineLevel="0" collapsed="false">
      <c r="A4" s="4" t="n">
        <v>46205</v>
      </c>
      <c r="B4" s="4" t="n">
        <v>46212</v>
      </c>
      <c r="C4" s="5" t="s">
        <v>13</v>
      </c>
      <c r="D4" s="5" t="s">
        <v>14</v>
      </c>
      <c r="E4" s="5" t="n">
        <v>200</v>
      </c>
      <c r="F4" s="5" t="n">
        <v>200</v>
      </c>
      <c r="G4" s="5" t="s">
        <v>15</v>
      </c>
      <c r="H4" s="5" t="n">
        <v>4200</v>
      </c>
      <c r="I4" s="5" t="n">
        <v>1800</v>
      </c>
      <c r="J4" s="5"/>
      <c r="K4" s="5" t="n">
        <f aca="false">IF(AND(A4&lt;&gt;"",B4&lt;&gt;""),B4-A4,"")</f>
        <v>7</v>
      </c>
    </row>
    <row r="5" customFormat="false" ht="15" hidden="false" customHeight="false" outlineLevel="0" collapsed="false">
      <c r="A5" s="6" t="n">
        <v>46206</v>
      </c>
      <c r="B5" s="6" t="n">
        <v>46218</v>
      </c>
      <c r="C5" s="7" t="s">
        <v>13</v>
      </c>
      <c r="D5" s="7" t="s">
        <v>16</v>
      </c>
      <c r="E5" s="7" t="n">
        <v>500</v>
      </c>
      <c r="F5" s="7" t="n">
        <v>500</v>
      </c>
      <c r="G5" s="7" t="s">
        <v>15</v>
      </c>
      <c r="H5" s="7" t="n">
        <v>3100</v>
      </c>
      <c r="I5" s="7" t="n">
        <v>2200</v>
      </c>
      <c r="J5" s="7"/>
      <c r="K5" s="7" t="n">
        <f aca="false">IF(AND(A5&lt;&gt;"",B5&lt;&gt;""),B5-A5,"")</f>
        <v>12</v>
      </c>
    </row>
    <row r="6" customFormat="false" ht="15" hidden="false" customHeight="false" outlineLevel="0" collapsed="false">
      <c r="A6" s="4" t="n">
        <v>46208</v>
      </c>
      <c r="B6" s="5"/>
      <c r="C6" s="5" t="s">
        <v>13</v>
      </c>
      <c r="D6" s="5" t="s">
        <v>17</v>
      </c>
      <c r="E6" s="5" t="n">
        <v>300</v>
      </c>
      <c r="F6" s="5" t="n">
        <v>0</v>
      </c>
      <c r="G6" s="5" t="s">
        <v>18</v>
      </c>
      <c r="H6" s="5" t="n">
        <v>0</v>
      </c>
      <c r="I6" s="5" t="n">
        <v>0</v>
      </c>
      <c r="J6" s="5" t="s">
        <v>19</v>
      </c>
      <c r="K6" s="5" t="str">
        <f aca="false">IF(AND(A6&lt;&gt;"",B6&lt;&gt;""),B6-A6,"")</f>
        <v/>
      </c>
    </row>
    <row r="7" customFormat="false" ht="15" hidden="false" customHeight="false" outlineLevel="0" collapsed="false">
      <c r="A7" s="6" t="n">
        <v>46211</v>
      </c>
      <c r="B7" s="6" t="n">
        <v>46223</v>
      </c>
      <c r="C7" s="7" t="s">
        <v>13</v>
      </c>
      <c r="D7" s="7" t="s">
        <v>20</v>
      </c>
      <c r="E7" s="7" t="n">
        <v>150</v>
      </c>
      <c r="F7" s="7" t="n">
        <v>150</v>
      </c>
      <c r="G7" s="7" t="s">
        <v>15</v>
      </c>
      <c r="H7" s="7" t="n">
        <v>2600</v>
      </c>
      <c r="I7" s="7" t="n">
        <v>1500</v>
      </c>
      <c r="J7" s="7"/>
      <c r="K7" s="7" t="n">
        <f aca="false">IF(AND(A7&lt;&gt;"",B7&lt;&gt;""),B7-A7,"")</f>
        <v>12</v>
      </c>
    </row>
    <row r="8" customFormat="false" ht="15" hidden="false" customHeight="false" outlineLevel="0" collapsed="false">
      <c r="A8" s="4" t="n">
        <v>46213</v>
      </c>
      <c r="B8" s="4" t="n">
        <v>46233</v>
      </c>
      <c r="C8" s="5" t="s">
        <v>13</v>
      </c>
      <c r="D8" s="5" t="s">
        <v>21</v>
      </c>
      <c r="E8" s="5" t="n">
        <v>10</v>
      </c>
      <c r="F8" s="5" t="n">
        <v>10</v>
      </c>
      <c r="G8" s="5" t="s">
        <v>22</v>
      </c>
      <c r="H8" s="5" t="n">
        <v>900</v>
      </c>
      <c r="I8" s="5" t="n">
        <v>0</v>
      </c>
      <c r="J8" s="5" t="s">
        <v>23</v>
      </c>
      <c r="K8" s="5" t="n">
        <f aca="false">IF(AND(A8&lt;&gt;"",B8&lt;&gt;""),B8-A8,"")</f>
        <v>20</v>
      </c>
    </row>
    <row r="9" customFormat="false" ht="15" hidden="false" customHeight="false" outlineLevel="0" collapsed="false">
      <c r="A9" s="6" t="n">
        <v>46204</v>
      </c>
      <c r="B9" s="6" t="n">
        <v>46209</v>
      </c>
      <c r="C9" s="7" t="s">
        <v>24</v>
      </c>
      <c r="D9" s="7" t="s">
        <v>25</v>
      </c>
      <c r="E9" s="7" t="n">
        <v>40</v>
      </c>
      <c r="F9" s="7" t="n">
        <v>40</v>
      </c>
      <c r="G9" s="7" t="s">
        <v>15</v>
      </c>
      <c r="H9" s="7" t="n">
        <v>5200</v>
      </c>
      <c r="I9" s="7" t="n">
        <v>3000</v>
      </c>
      <c r="J9" s="7"/>
      <c r="K9" s="7" t="n">
        <f aca="false">IF(AND(A9&lt;&gt;"",B9&lt;&gt;""),B9-A9,"")</f>
        <v>5</v>
      </c>
    </row>
    <row r="10" customFormat="false" ht="15" hidden="false" customHeight="false" outlineLevel="0" collapsed="false">
      <c r="A10" s="4" t="n">
        <v>46207</v>
      </c>
      <c r="B10" s="4" t="n">
        <v>46214</v>
      </c>
      <c r="C10" s="5" t="s">
        <v>24</v>
      </c>
      <c r="D10" s="5" t="s">
        <v>14</v>
      </c>
      <c r="E10" s="5" t="n">
        <v>120</v>
      </c>
      <c r="F10" s="5" t="n">
        <v>120</v>
      </c>
      <c r="G10" s="5" t="s">
        <v>15</v>
      </c>
      <c r="H10" s="5" t="n">
        <v>2500</v>
      </c>
      <c r="I10" s="5" t="n">
        <v>1100</v>
      </c>
      <c r="J10" s="5"/>
      <c r="K10" s="5" t="n">
        <f aca="false">IF(AND(A10&lt;&gt;"",B10&lt;&gt;""),B10-A10,"")</f>
        <v>7</v>
      </c>
    </row>
    <row r="11" customFormat="false" ht="15" hidden="false" customHeight="false" outlineLevel="0" collapsed="false">
      <c r="A11" s="6" t="n">
        <v>46209</v>
      </c>
      <c r="B11" s="6" t="n">
        <v>46217</v>
      </c>
      <c r="C11" s="7" t="s">
        <v>24</v>
      </c>
      <c r="D11" s="7" t="s">
        <v>16</v>
      </c>
      <c r="E11" s="7" t="n">
        <v>300</v>
      </c>
      <c r="F11" s="7" t="n">
        <v>280</v>
      </c>
      <c r="G11" s="7" t="s">
        <v>15</v>
      </c>
      <c r="H11" s="7" t="n">
        <v>1800</v>
      </c>
      <c r="I11" s="7" t="n">
        <v>1300</v>
      </c>
      <c r="J11" s="7" t="s">
        <v>26</v>
      </c>
      <c r="K11" s="7" t="n">
        <f aca="false">IF(AND(A11&lt;&gt;"",B11&lt;&gt;""),B11-A11,"")</f>
        <v>8</v>
      </c>
    </row>
    <row r="12" customFormat="false" ht="15" hidden="false" customHeight="false" outlineLevel="0" collapsed="false">
      <c r="A12" s="4" t="n">
        <v>46215</v>
      </c>
      <c r="B12" s="5"/>
      <c r="C12" s="5" t="s">
        <v>24</v>
      </c>
      <c r="D12" s="5" t="s">
        <v>17</v>
      </c>
      <c r="E12" s="5" t="n">
        <v>200</v>
      </c>
      <c r="F12" s="5" t="n">
        <v>0</v>
      </c>
      <c r="G12" s="5" t="s">
        <v>18</v>
      </c>
      <c r="H12" s="5" t="n">
        <v>0</v>
      </c>
      <c r="I12" s="5" t="n">
        <v>0</v>
      </c>
      <c r="J12" s="5" t="s">
        <v>27</v>
      </c>
      <c r="K12" s="5" t="str">
        <f aca="false">IF(AND(A12&lt;&gt;"",B12&lt;&gt;""),B12-A12,"")</f>
        <v/>
      </c>
    </row>
    <row r="13" customFormat="false" ht="15" hidden="false" customHeight="false" outlineLevel="0" collapsed="false">
      <c r="A13" s="6" t="n">
        <v>46218</v>
      </c>
      <c r="B13" s="6" t="n">
        <v>46226</v>
      </c>
      <c r="C13" s="7" t="s">
        <v>24</v>
      </c>
      <c r="D13" s="7" t="s">
        <v>20</v>
      </c>
      <c r="E13" s="7" t="n">
        <v>100</v>
      </c>
      <c r="F13" s="7" t="n">
        <v>100</v>
      </c>
      <c r="G13" s="7" t="s">
        <v>15</v>
      </c>
      <c r="H13" s="7" t="n">
        <v>1700</v>
      </c>
      <c r="I13" s="7" t="n">
        <v>900</v>
      </c>
      <c r="J13" s="7"/>
      <c r="K13" s="7" t="n">
        <f aca="false">IF(AND(A13&lt;&gt;"",B13&lt;&gt;""),B13-A13,"")</f>
        <v>8</v>
      </c>
    </row>
    <row r="14" customFormat="false" ht="15" hidden="false" customHeight="false" outlineLevel="0" collapsed="false">
      <c r="A14" s="4" t="n">
        <v>46205</v>
      </c>
      <c r="B14" s="4" t="n">
        <v>46211</v>
      </c>
      <c r="C14" s="5" t="s">
        <v>28</v>
      </c>
      <c r="D14" s="5" t="s">
        <v>14</v>
      </c>
      <c r="E14" s="5" t="n">
        <v>180</v>
      </c>
      <c r="F14" s="5" t="n">
        <v>180</v>
      </c>
      <c r="G14" s="5" t="s">
        <v>15</v>
      </c>
      <c r="H14" s="5" t="n">
        <v>3800</v>
      </c>
      <c r="I14" s="5" t="n">
        <v>1600</v>
      </c>
      <c r="J14" s="5"/>
      <c r="K14" s="5" t="n">
        <f aca="false">IF(AND(A14&lt;&gt;"",B14&lt;&gt;""),B14-A14,"")</f>
        <v>6</v>
      </c>
    </row>
    <row r="15" customFormat="false" ht="15" hidden="false" customHeight="false" outlineLevel="0" collapsed="false">
      <c r="A15" s="6" t="n">
        <v>46208</v>
      </c>
      <c r="B15" s="6" t="n">
        <v>46222</v>
      </c>
      <c r="C15" s="7" t="s">
        <v>28</v>
      </c>
      <c r="D15" s="7" t="s">
        <v>21</v>
      </c>
      <c r="E15" s="7" t="n">
        <v>8</v>
      </c>
      <c r="F15" s="7" t="n">
        <v>8</v>
      </c>
      <c r="G15" s="7" t="s">
        <v>22</v>
      </c>
      <c r="H15" s="7" t="n">
        <v>1100</v>
      </c>
      <c r="I15" s="7" t="n">
        <v>0</v>
      </c>
      <c r="J15" s="7" t="s">
        <v>29</v>
      </c>
      <c r="K15" s="7" t="n">
        <f aca="false">IF(AND(A15&lt;&gt;"",B15&lt;&gt;""),B15-A15,"")</f>
        <v>14</v>
      </c>
    </row>
    <row r="16" customFormat="false" ht="15" hidden="false" customHeight="false" outlineLevel="0" collapsed="false">
      <c r="A16" s="4" t="n">
        <v>46212</v>
      </c>
      <c r="B16" s="4" t="n">
        <v>46219</v>
      </c>
      <c r="C16" s="5" t="s">
        <v>28</v>
      </c>
      <c r="D16" s="5" t="s">
        <v>25</v>
      </c>
      <c r="E16" s="5" t="n">
        <v>35</v>
      </c>
      <c r="F16" s="5" t="n">
        <v>35</v>
      </c>
      <c r="G16" s="5" t="s">
        <v>15</v>
      </c>
      <c r="H16" s="5" t="n">
        <v>4600</v>
      </c>
      <c r="I16" s="5" t="n">
        <v>2500</v>
      </c>
      <c r="J16" s="5"/>
      <c r="K16" s="5" t="n">
        <f aca="false">IF(AND(A16&lt;&gt;"",B16&lt;&gt;""),B16-A16,"")</f>
        <v>7</v>
      </c>
    </row>
    <row r="17" customFormat="false" ht="15" hidden="false" customHeight="false" outlineLevel="0" collapsed="false">
      <c r="A17" s="6" t="n">
        <v>46214</v>
      </c>
      <c r="B17" s="6" t="n">
        <v>46228</v>
      </c>
      <c r="C17" s="7" t="s">
        <v>28</v>
      </c>
      <c r="D17" s="7" t="s">
        <v>16</v>
      </c>
      <c r="E17" s="7" t="n">
        <v>260</v>
      </c>
      <c r="F17" s="7" t="n">
        <v>260</v>
      </c>
      <c r="G17" s="7" t="s">
        <v>15</v>
      </c>
      <c r="H17" s="7" t="n">
        <v>2100</v>
      </c>
      <c r="I17" s="7" t="n">
        <v>1400</v>
      </c>
      <c r="J17" s="7"/>
      <c r="K17" s="7" t="n">
        <f aca="false">IF(AND(A17&lt;&gt;"",B17&lt;&gt;""),B17-A17,"")</f>
        <v>14</v>
      </c>
    </row>
    <row r="18" customFormat="false" ht="15" hidden="false" customHeight="false" outlineLevel="0" collapsed="false">
      <c r="A18" s="4" t="n">
        <v>46217</v>
      </c>
      <c r="B18" s="4" t="n">
        <v>46224</v>
      </c>
      <c r="C18" s="5" t="s">
        <v>28</v>
      </c>
      <c r="D18" s="5" t="s">
        <v>20</v>
      </c>
      <c r="E18" s="5" t="n">
        <v>90</v>
      </c>
      <c r="F18" s="5" t="n">
        <v>90</v>
      </c>
      <c r="G18" s="5" t="s">
        <v>15</v>
      </c>
      <c r="H18" s="5" t="n">
        <v>1500</v>
      </c>
      <c r="I18" s="5" t="n">
        <v>700</v>
      </c>
      <c r="J18" s="5"/>
      <c r="K18" s="5" t="n">
        <f aca="false">IF(AND(A18&lt;&gt;"",B18&lt;&gt;""),B18-A18,"")</f>
        <v>7</v>
      </c>
    </row>
    <row r="19" customFormat="false" ht="15" hidden="false" customHeight="false" outlineLevel="0" collapsed="false">
      <c r="A19" s="6" t="n">
        <v>46204</v>
      </c>
      <c r="B19" s="6" t="n">
        <v>46210</v>
      </c>
      <c r="C19" s="7" t="s">
        <v>30</v>
      </c>
      <c r="D19" s="7" t="s">
        <v>14</v>
      </c>
      <c r="E19" s="7" t="n">
        <v>220</v>
      </c>
      <c r="F19" s="7" t="n">
        <v>220</v>
      </c>
      <c r="G19" s="7" t="s">
        <v>15</v>
      </c>
      <c r="H19" s="7" t="n">
        <v>4700</v>
      </c>
      <c r="I19" s="7" t="n">
        <v>2100</v>
      </c>
      <c r="J19" s="7"/>
      <c r="K19" s="7" t="n">
        <f aca="false">IF(AND(A19&lt;&gt;"",B19&lt;&gt;""),B19-A19,"")</f>
        <v>6</v>
      </c>
    </row>
    <row r="20" customFormat="false" ht="15" hidden="false" customHeight="false" outlineLevel="0" collapsed="false">
      <c r="A20" s="4" t="n">
        <v>46206</v>
      </c>
      <c r="B20" s="4" t="n">
        <v>46212</v>
      </c>
      <c r="C20" s="5" t="s">
        <v>30</v>
      </c>
      <c r="D20" s="5" t="s">
        <v>17</v>
      </c>
      <c r="E20" s="5" t="n">
        <v>300</v>
      </c>
      <c r="F20" s="5" t="n">
        <v>300</v>
      </c>
      <c r="G20" s="5" t="s">
        <v>15</v>
      </c>
      <c r="H20" s="5" t="n">
        <v>3300</v>
      </c>
      <c r="I20" s="5" t="n">
        <v>2400</v>
      </c>
      <c r="J20" s="5"/>
      <c r="K20" s="5" t="n">
        <f aca="false">IF(AND(A20&lt;&gt;"",B20&lt;&gt;""),B20-A20,"")</f>
        <v>6</v>
      </c>
    </row>
    <row r="21" customFormat="false" ht="15" hidden="false" customHeight="false" outlineLevel="0" collapsed="false">
      <c r="A21" s="6" t="n">
        <v>46209</v>
      </c>
      <c r="B21" s="7"/>
      <c r="C21" s="7" t="s">
        <v>31</v>
      </c>
      <c r="D21" s="7" t="s">
        <v>17</v>
      </c>
      <c r="E21" s="7" t="n">
        <v>150</v>
      </c>
      <c r="F21" s="7" t="n">
        <v>0</v>
      </c>
      <c r="G21" s="7" t="s">
        <v>18</v>
      </c>
      <c r="H21" s="7" t="n">
        <v>0</v>
      </c>
      <c r="I21" s="7" t="n">
        <v>0</v>
      </c>
      <c r="J21" s="7" t="s">
        <v>32</v>
      </c>
      <c r="K21" s="7" t="str">
        <f aca="false">IF(AND(A21&lt;&gt;"",B21&lt;&gt;""),B21-A21,"")</f>
        <v/>
      </c>
    </row>
    <row r="22" customFormat="false" ht="15" hidden="false" customHeight="false" outlineLevel="0" collapsed="false">
      <c r="A22" s="4" t="n">
        <v>46213</v>
      </c>
      <c r="B22" s="4" t="n">
        <v>46219</v>
      </c>
      <c r="C22" s="5" t="s">
        <v>30</v>
      </c>
      <c r="D22" s="5" t="s">
        <v>16</v>
      </c>
      <c r="E22" s="5" t="n">
        <v>400</v>
      </c>
      <c r="F22" s="5" t="n">
        <v>400</v>
      </c>
      <c r="G22" s="5" t="s">
        <v>15</v>
      </c>
      <c r="H22" s="5" t="n">
        <v>2900</v>
      </c>
      <c r="I22" s="5" t="n">
        <v>2000</v>
      </c>
      <c r="J22" s="5"/>
      <c r="K22" s="5" t="n">
        <f aca="false">IF(AND(A22&lt;&gt;"",B22&lt;&gt;""),B22-A22,"")</f>
        <v>6</v>
      </c>
    </row>
    <row r="23" customFormat="false" ht="15" hidden="false" customHeight="false" outlineLevel="0" collapsed="false">
      <c r="A23" s="6" t="n">
        <v>46216</v>
      </c>
      <c r="B23" s="6" t="n">
        <v>46225</v>
      </c>
      <c r="C23" s="7" t="s">
        <v>30</v>
      </c>
      <c r="D23" s="7" t="s">
        <v>20</v>
      </c>
      <c r="E23" s="7" t="n">
        <v>130</v>
      </c>
      <c r="F23" s="7" t="n">
        <v>130</v>
      </c>
      <c r="G23" s="7" t="s">
        <v>15</v>
      </c>
      <c r="H23" s="7" t="n">
        <v>2000</v>
      </c>
      <c r="I23" s="7" t="n">
        <v>1000</v>
      </c>
      <c r="J23" s="7"/>
      <c r="K23" s="7" t="n">
        <f aca="false">IF(AND(A23&lt;&gt;"",B23&lt;&gt;""),B23-A23,"")</f>
        <v>9</v>
      </c>
    </row>
    <row r="24" customFormat="false" ht="15" hidden="false" customHeight="false" outlineLevel="0" collapsed="false">
      <c r="A24" s="4" t="n">
        <v>46219</v>
      </c>
      <c r="B24" s="4" t="n">
        <v>46227</v>
      </c>
      <c r="C24" s="5" t="s">
        <v>30</v>
      </c>
      <c r="D24" s="5" t="s">
        <v>25</v>
      </c>
      <c r="E24" s="5" t="n">
        <v>30</v>
      </c>
      <c r="F24" s="5" t="n">
        <v>30</v>
      </c>
      <c r="G24" s="5" t="s">
        <v>15</v>
      </c>
      <c r="H24" s="5" t="n">
        <v>3900</v>
      </c>
      <c r="I24" s="5" t="n">
        <v>1800</v>
      </c>
      <c r="J24" s="5"/>
      <c r="K24" s="5" t="n">
        <f aca="false">IF(AND(A24&lt;&gt;"",B24&lt;&gt;""),B24-A24,"")</f>
        <v>8</v>
      </c>
    </row>
    <row r="25" customFormat="false" ht="15" hidden="false" customHeight="false" outlineLevel="0" collapsed="false">
      <c r="A25" s="6" t="n">
        <v>46221</v>
      </c>
      <c r="B25" s="6" t="n">
        <v>46229</v>
      </c>
      <c r="C25" s="7" t="s">
        <v>13</v>
      </c>
      <c r="D25" s="7" t="s">
        <v>25</v>
      </c>
      <c r="E25" s="7" t="n">
        <v>25</v>
      </c>
      <c r="F25" s="7" t="n">
        <v>25</v>
      </c>
      <c r="G25" s="7" t="s">
        <v>15</v>
      </c>
      <c r="H25" s="7" t="n">
        <v>3400</v>
      </c>
      <c r="I25" s="7" t="n">
        <v>1600</v>
      </c>
      <c r="J25" s="7"/>
      <c r="K25" s="7" t="n">
        <f aca="false">IF(AND(A25&lt;&gt;"",B25&lt;&gt;""),B25-A25,"")</f>
        <v>8</v>
      </c>
    </row>
    <row r="26" customFormat="false" ht="15" hidden="false" customHeight="false" outlineLevel="0" collapsed="false">
      <c r="A26" s="4" t="n">
        <v>46223</v>
      </c>
      <c r="B26" s="4" t="n">
        <v>46231</v>
      </c>
      <c r="C26" s="5" t="s">
        <v>24</v>
      </c>
      <c r="D26" s="5" t="s">
        <v>21</v>
      </c>
      <c r="E26" s="5" t="n">
        <v>6</v>
      </c>
      <c r="F26" s="5" t="n">
        <v>6</v>
      </c>
      <c r="G26" s="5" t="s">
        <v>15</v>
      </c>
      <c r="H26" s="5" t="n">
        <v>800</v>
      </c>
      <c r="I26" s="5" t="n">
        <v>0</v>
      </c>
      <c r="J26" s="5"/>
      <c r="K26" s="5" t="n">
        <f aca="false">IF(AND(A26&lt;&gt;"",B26&lt;&gt;""),B26-A26,"")</f>
        <v>8</v>
      </c>
    </row>
    <row r="27" customFormat="false" ht="15" hidden="false" customHeight="false" outlineLevel="0" collapsed="false">
      <c r="A27" s="6" t="n">
        <v>46224</v>
      </c>
      <c r="B27" s="6" t="n">
        <v>46230</v>
      </c>
      <c r="C27" s="7" t="s">
        <v>28</v>
      </c>
      <c r="D27" s="7" t="s">
        <v>17</v>
      </c>
      <c r="E27" s="7" t="n">
        <v>210</v>
      </c>
      <c r="F27" s="7" t="n">
        <v>210</v>
      </c>
      <c r="G27" s="7" t="s">
        <v>15</v>
      </c>
      <c r="H27" s="7" t="n">
        <v>2700</v>
      </c>
      <c r="I27" s="7" t="n">
        <v>1900</v>
      </c>
      <c r="J27" s="7"/>
      <c r="K27" s="7" t="n">
        <f aca="false">IF(AND(A27&lt;&gt;"",B27&lt;&gt;""),B27-A27,"")</f>
        <v>6</v>
      </c>
    </row>
    <row r="28" customFormat="false" ht="15" hidden="false" customHeight="false" outlineLevel="0" collapsed="false">
      <c r="A28" s="4" t="n">
        <v>46225</v>
      </c>
      <c r="B28" s="4" t="n">
        <v>46236</v>
      </c>
      <c r="C28" s="5" t="s">
        <v>30</v>
      </c>
      <c r="D28" s="5" t="s">
        <v>14</v>
      </c>
      <c r="E28" s="5" t="n">
        <v>160</v>
      </c>
      <c r="F28" s="5" t="n">
        <v>160</v>
      </c>
      <c r="G28" s="5" t="s">
        <v>22</v>
      </c>
      <c r="H28" s="5" t="n">
        <v>3100</v>
      </c>
      <c r="I28" s="5" t="n">
        <v>1400</v>
      </c>
      <c r="J28" s="5" t="s">
        <v>33</v>
      </c>
      <c r="K28" s="5" t="n">
        <f aca="false">IF(AND(A28&lt;&gt;"",B28&lt;&gt;""),B28-A28,"")</f>
        <v>11</v>
      </c>
    </row>
    <row r="29" customFormat="false" ht="15" hidden="false" customHeight="false" outlineLevel="0" collapsed="false">
      <c r="K29" s="0" t="str">
        <f aca="false">IF(AND(A29&lt;&gt;"",B29&lt;&gt;""),B29-A29,"")</f>
        <v/>
      </c>
    </row>
    <row r="30" customFormat="false" ht="15" hidden="false" customHeight="false" outlineLevel="0" collapsed="false">
      <c r="K30" s="0" t="str">
        <f aca="false">IF(AND(A30&lt;&gt;"",B30&lt;&gt;""),B30-A30,"")</f>
        <v/>
      </c>
    </row>
    <row r="31" customFormat="false" ht="15" hidden="false" customHeight="false" outlineLevel="0" collapsed="false">
      <c r="K31" s="0" t="str">
        <f aca="false">IF(AND(A31&lt;&gt;"",B31&lt;&gt;""),B31-A31,"")</f>
        <v/>
      </c>
    </row>
    <row r="32" customFormat="false" ht="15" hidden="false" customHeight="false" outlineLevel="0" collapsed="false">
      <c r="K32" s="0" t="str">
        <f aca="false">IF(AND(A32&lt;&gt;"",B32&lt;&gt;""),B32-A32,"")</f>
        <v/>
      </c>
    </row>
    <row r="33" customFormat="false" ht="15" hidden="false" customHeight="false" outlineLevel="0" collapsed="false">
      <c r="K33" s="0" t="str">
        <f aca="false">IF(AND(A33&lt;&gt;"",B33&lt;&gt;""),B33-A33,"")</f>
        <v/>
      </c>
    </row>
    <row r="34" customFormat="false" ht="15" hidden="false" customHeight="false" outlineLevel="0" collapsed="false">
      <c r="K34" s="0" t="str">
        <f aca="false">IF(AND(A34&lt;&gt;"",B34&lt;&gt;""),B34-A34,"")</f>
        <v/>
      </c>
    </row>
    <row r="35" customFormat="false" ht="15" hidden="false" customHeight="false" outlineLevel="0" collapsed="false">
      <c r="K35" s="0" t="str">
        <f aca="false">IF(AND(A35&lt;&gt;"",B35&lt;&gt;""),B35-A35,"")</f>
        <v/>
      </c>
    </row>
    <row r="36" customFormat="false" ht="15" hidden="false" customHeight="false" outlineLevel="0" collapsed="false">
      <c r="K36" s="0" t="str">
        <f aca="false">IF(AND(A36&lt;&gt;"",B36&lt;&gt;""),B36-A36,"")</f>
        <v/>
      </c>
    </row>
    <row r="37" customFormat="false" ht="15" hidden="false" customHeight="false" outlineLevel="0" collapsed="false">
      <c r="K37" s="0" t="str">
        <f aca="false">IF(AND(A37&lt;&gt;"",B37&lt;&gt;""),B37-A37,"")</f>
        <v/>
      </c>
    </row>
    <row r="38" customFormat="false" ht="15" hidden="false" customHeight="false" outlineLevel="0" collapsed="false">
      <c r="K38" s="0" t="str">
        <f aca="false">IF(AND(A38&lt;&gt;"",B38&lt;&gt;""),B38-A38,"")</f>
        <v/>
      </c>
    </row>
    <row r="39" customFormat="false" ht="15" hidden="false" customHeight="false" outlineLevel="0" collapsed="false">
      <c r="K39" s="0" t="str">
        <f aca="false">IF(AND(A39&lt;&gt;"",B39&lt;&gt;""),B39-A39,"")</f>
        <v/>
      </c>
    </row>
    <row r="40" customFormat="false" ht="15" hidden="false" customHeight="false" outlineLevel="0" collapsed="false">
      <c r="K40" s="0" t="str">
        <f aca="false">IF(AND(A40&lt;&gt;"",B40&lt;&gt;""),B40-A40,"")</f>
        <v/>
      </c>
    </row>
    <row r="41" customFormat="false" ht="15" hidden="false" customHeight="false" outlineLevel="0" collapsed="false">
      <c r="K41" s="0" t="str">
        <f aca="false">IF(AND(A41&lt;&gt;"",B41&lt;&gt;""),B41-A41,"")</f>
        <v/>
      </c>
    </row>
    <row r="42" customFormat="false" ht="15" hidden="false" customHeight="false" outlineLevel="0" collapsed="false">
      <c r="K42" s="0" t="str">
        <f aca="false">IF(AND(A42&lt;&gt;"",B42&lt;&gt;""),B42-A42,"")</f>
        <v/>
      </c>
    </row>
    <row r="43" customFormat="false" ht="15" hidden="false" customHeight="false" outlineLevel="0" collapsed="false">
      <c r="K43" s="0" t="str">
        <f aca="false">IF(AND(A43&lt;&gt;"",B43&lt;&gt;""),B43-A43,"")</f>
        <v/>
      </c>
    </row>
    <row r="44" customFormat="false" ht="15" hidden="false" customHeight="false" outlineLevel="0" collapsed="false">
      <c r="K44" s="0" t="str">
        <f aca="false">IF(AND(A44&lt;&gt;"",B44&lt;&gt;""),B44-A44,"")</f>
        <v/>
      </c>
    </row>
    <row r="45" customFormat="false" ht="15" hidden="false" customHeight="false" outlineLevel="0" collapsed="false">
      <c r="K45" s="0" t="str">
        <f aca="false">IF(AND(A45&lt;&gt;"",B45&lt;&gt;""),B45-A45,"")</f>
        <v/>
      </c>
    </row>
    <row r="46" customFormat="false" ht="15" hidden="false" customHeight="false" outlineLevel="0" collapsed="false">
      <c r="K46" s="0" t="str">
        <f aca="false">IF(AND(A46&lt;&gt;"",B46&lt;&gt;""),B46-A46,"")</f>
        <v/>
      </c>
    </row>
    <row r="47" customFormat="false" ht="15" hidden="false" customHeight="false" outlineLevel="0" collapsed="false">
      <c r="K47" s="0" t="str">
        <f aca="false">IF(AND(A47&lt;&gt;"",B47&lt;&gt;""),B47-A47,"")</f>
        <v/>
      </c>
    </row>
    <row r="48" customFormat="false" ht="15" hidden="false" customHeight="false" outlineLevel="0" collapsed="false">
      <c r="K48" s="0" t="str">
        <f aca="false">IF(AND(A48&lt;&gt;"",B48&lt;&gt;""),B48-A48,"")</f>
        <v/>
      </c>
    </row>
    <row r="49" customFormat="false" ht="15" hidden="false" customHeight="false" outlineLevel="0" collapsed="false">
      <c r="K49" s="0" t="str">
        <f aca="false">IF(AND(A49&lt;&gt;"",B49&lt;&gt;""),B49-A49,"")</f>
        <v/>
      </c>
    </row>
    <row r="50" customFormat="false" ht="15" hidden="false" customHeight="false" outlineLevel="0" collapsed="false">
      <c r="K50" s="0" t="str">
        <f aca="false">IF(AND(A50&lt;&gt;"",B50&lt;&gt;""),B50-A50,"")</f>
        <v/>
      </c>
    </row>
    <row r="51" customFormat="false" ht="15" hidden="false" customHeight="false" outlineLevel="0" collapsed="false">
      <c r="K51" s="0" t="str">
        <f aca="false">IF(AND(A51&lt;&gt;"",B51&lt;&gt;""),B51-A51,"")</f>
        <v/>
      </c>
    </row>
    <row r="52" customFormat="false" ht="15" hidden="false" customHeight="false" outlineLevel="0" collapsed="false">
      <c r="K52" s="0" t="str">
        <f aca="false">IF(AND(A52&lt;&gt;"",B52&lt;&gt;""),B52-A52,"")</f>
        <v/>
      </c>
    </row>
    <row r="53" customFormat="false" ht="15" hidden="false" customHeight="false" outlineLevel="0" collapsed="false">
      <c r="K53" s="0" t="str">
        <f aca="false">IF(AND(A53&lt;&gt;"",B53&lt;&gt;""),B53-A53,"")</f>
        <v/>
      </c>
    </row>
    <row r="54" customFormat="false" ht="15" hidden="false" customHeight="false" outlineLevel="0" collapsed="false">
      <c r="K54" s="0" t="str">
        <f aca="false">IF(AND(A54&lt;&gt;"",B54&lt;&gt;""),B54-A54,"")</f>
        <v/>
      </c>
    </row>
    <row r="55" customFormat="false" ht="15" hidden="false" customHeight="false" outlineLevel="0" collapsed="false">
      <c r="K55" s="0" t="str">
        <f aca="false">IF(AND(A55&lt;&gt;"",B55&lt;&gt;""),B55-A55,"")</f>
        <v/>
      </c>
    </row>
    <row r="56" customFormat="false" ht="15" hidden="false" customHeight="false" outlineLevel="0" collapsed="false">
      <c r="K56" s="0" t="str">
        <f aca="false">IF(AND(A56&lt;&gt;"",B56&lt;&gt;""),B56-A56,"")</f>
        <v/>
      </c>
    </row>
    <row r="57" customFormat="false" ht="15" hidden="false" customHeight="false" outlineLevel="0" collapsed="false">
      <c r="K57" s="0" t="str">
        <f aca="false">IF(AND(A57&lt;&gt;"",B57&lt;&gt;""),B57-A57,"")</f>
        <v/>
      </c>
    </row>
    <row r="58" customFormat="false" ht="15" hidden="false" customHeight="false" outlineLevel="0" collapsed="false">
      <c r="K58" s="0" t="str">
        <f aca="false">IF(AND(A58&lt;&gt;"",B58&lt;&gt;""),B58-A58,"")</f>
        <v/>
      </c>
    </row>
    <row r="59" customFormat="false" ht="15" hidden="false" customHeight="false" outlineLevel="0" collapsed="false">
      <c r="K59" s="0" t="str">
        <f aca="false">IF(AND(A59&lt;&gt;"",B59&lt;&gt;""),B59-A59,"")</f>
        <v/>
      </c>
    </row>
    <row r="60" customFormat="false" ht="15" hidden="false" customHeight="false" outlineLevel="0" collapsed="false">
      <c r="K60" s="0" t="str">
        <f aca="false">IF(AND(A60&lt;&gt;"",B60&lt;&gt;""),B60-A60,"")</f>
        <v/>
      </c>
    </row>
    <row r="61" customFormat="false" ht="15" hidden="false" customHeight="false" outlineLevel="0" collapsed="false">
      <c r="K61" s="0" t="str">
        <f aca="false">IF(AND(A61&lt;&gt;"",B61&lt;&gt;""),B61-A61,"")</f>
        <v/>
      </c>
    </row>
    <row r="62" customFormat="false" ht="15" hidden="false" customHeight="false" outlineLevel="0" collapsed="false">
      <c r="K62" s="0" t="str">
        <f aca="false">IF(AND(A62&lt;&gt;"",B62&lt;&gt;""),B62-A62,"")</f>
        <v/>
      </c>
    </row>
    <row r="63" customFormat="false" ht="15" hidden="false" customHeight="false" outlineLevel="0" collapsed="false">
      <c r="K63" s="0" t="str">
        <f aca="false">IF(AND(A63&lt;&gt;"",B63&lt;&gt;""),B63-A63,"")</f>
        <v/>
      </c>
    </row>
    <row r="64" customFormat="false" ht="15" hidden="false" customHeight="false" outlineLevel="0" collapsed="false">
      <c r="K64" s="0" t="str">
        <f aca="false">IF(AND(A64&lt;&gt;"",B64&lt;&gt;""),B64-A64,"")</f>
        <v/>
      </c>
    </row>
    <row r="65" customFormat="false" ht="15" hidden="false" customHeight="false" outlineLevel="0" collapsed="false">
      <c r="K65" s="0" t="str">
        <f aca="false">IF(AND(A65&lt;&gt;"",B65&lt;&gt;""),B65-A65,"")</f>
        <v/>
      </c>
    </row>
    <row r="66" customFormat="false" ht="15" hidden="false" customHeight="false" outlineLevel="0" collapsed="false">
      <c r="K66" s="0" t="str">
        <f aca="false">IF(AND(A66&lt;&gt;"",B66&lt;&gt;""),B66-A66,"")</f>
        <v/>
      </c>
    </row>
    <row r="67" customFormat="false" ht="15" hidden="false" customHeight="false" outlineLevel="0" collapsed="false">
      <c r="K67" s="0" t="str">
        <f aca="false">IF(AND(A67&lt;&gt;"",B67&lt;&gt;""),B67-A67,"")</f>
        <v/>
      </c>
    </row>
    <row r="68" customFormat="false" ht="15" hidden="false" customHeight="false" outlineLevel="0" collapsed="false">
      <c r="K68" s="0" t="str">
        <f aca="false">IF(AND(A68&lt;&gt;"",B68&lt;&gt;""),B68-A68,"")</f>
        <v/>
      </c>
    </row>
    <row r="69" customFormat="false" ht="15" hidden="false" customHeight="false" outlineLevel="0" collapsed="false">
      <c r="K69" s="0" t="str">
        <f aca="false">IF(AND(A69&lt;&gt;"",B69&lt;&gt;""),B69-A69,"")</f>
        <v/>
      </c>
    </row>
    <row r="70" customFormat="false" ht="15" hidden="false" customHeight="false" outlineLevel="0" collapsed="false">
      <c r="K70" s="0" t="str">
        <f aca="false">IF(AND(A70&lt;&gt;"",B70&lt;&gt;""),B70-A70,"")</f>
        <v/>
      </c>
    </row>
    <row r="71" customFormat="false" ht="15" hidden="false" customHeight="false" outlineLevel="0" collapsed="false">
      <c r="K71" s="0" t="str">
        <f aca="false">IF(AND(A71&lt;&gt;"",B71&lt;&gt;""),B71-A71,"")</f>
        <v/>
      </c>
    </row>
    <row r="72" customFormat="false" ht="15" hidden="false" customHeight="false" outlineLevel="0" collapsed="false">
      <c r="K72" s="0" t="str">
        <f aca="false">IF(AND(A72&lt;&gt;"",B72&lt;&gt;""),B72-A72,"")</f>
        <v/>
      </c>
    </row>
    <row r="73" customFormat="false" ht="15" hidden="false" customHeight="false" outlineLevel="0" collapsed="false">
      <c r="K73" s="0" t="str">
        <f aca="false">IF(AND(A73&lt;&gt;"",B73&lt;&gt;""),B73-A73,"")</f>
        <v/>
      </c>
    </row>
    <row r="74" customFormat="false" ht="15" hidden="false" customHeight="false" outlineLevel="0" collapsed="false">
      <c r="K74" s="0" t="str">
        <f aca="false">IF(AND(A74&lt;&gt;"",B74&lt;&gt;""),B74-A74,"")</f>
        <v/>
      </c>
    </row>
    <row r="75" customFormat="false" ht="15" hidden="false" customHeight="false" outlineLevel="0" collapsed="false">
      <c r="K75" s="0" t="str">
        <f aca="false">IF(AND(A75&lt;&gt;"",B75&lt;&gt;""),B75-A75,"")</f>
        <v/>
      </c>
    </row>
    <row r="76" customFormat="false" ht="15" hidden="false" customHeight="false" outlineLevel="0" collapsed="false">
      <c r="K76" s="0" t="str">
        <f aca="false">IF(AND(A76&lt;&gt;"",B76&lt;&gt;""),B76-A76,"")</f>
        <v/>
      </c>
    </row>
    <row r="77" customFormat="false" ht="15" hidden="false" customHeight="false" outlineLevel="0" collapsed="false">
      <c r="K77" s="0" t="str">
        <f aca="false">IF(AND(A77&lt;&gt;"",B77&lt;&gt;""),B77-A77,"")</f>
        <v/>
      </c>
    </row>
    <row r="78" customFormat="false" ht="15" hidden="false" customHeight="false" outlineLevel="0" collapsed="false">
      <c r="K78" s="0" t="str">
        <f aca="false">IF(AND(A78&lt;&gt;"",B78&lt;&gt;""),B78-A78,"")</f>
        <v/>
      </c>
    </row>
    <row r="79" customFormat="false" ht="15" hidden="false" customHeight="false" outlineLevel="0" collapsed="false">
      <c r="K79" s="0" t="str">
        <f aca="false">IF(AND(A79&lt;&gt;"",B79&lt;&gt;""),B79-A79,"")</f>
        <v/>
      </c>
    </row>
    <row r="80" customFormat="false" ht="15" hidden="false" customHeight="false" outlineLevel="0" collapsed="false">
      <c r="K80" s="0" t="str">
        <f aca="false">IF(AND(A80&lt;&gt;"",B80&lt;&gt;""),B80-A80,"")</f>
        <v/>
      </c>
    </row>
    <row r="81" customFormat="false" ht="15" hidden="false" customHeight="false" outlineLevel="0" collapsed="false">
      <c r="K81" s="0" t="str">
        <f aca="false">IF(AND(A81&lt;&gt;"",B81&lt;&gt;""),B81-A81,"")</f>
        <v/>
      </c>
    </row>
    <row r="82" customFormat="false" ht="15" hidden="false" customHeight="false" outlineLevel="0" collapsed="false">
      <c r="K82" s="0" t="str">
        <f aca="false">IF(AND(A82&lt;&gt;"",B82&lt;&gt;""),B82-A82,"")</f>
        <v/>
      </c>
    </row>
    <row r="83" customFormat="false" ht="15" hidden="false" customHeight="false" outlineLevel="0" collapsed="false">
      <c r="K83" s="0" t="str">
        <f aca="false">IF(AND(A83&lt;&gt;"",B83&lt;&gt;""),B83-A83,"")</f>
        <v/>
      </c>
    </row>
    <row r="84" customFormat="false" ht="15" hidden="false" customHeight="false" outlineLevel="0" collapsed="false">
      <c r="K84" s="0" t="str">
        <f aca="false">IF(AND(A84&lt;&gt;"",B84&lt;&gt;""),B84-A84,"")</f>
        <v/>
      </c>
    </row>
    <row r="85" customFormat="false" ht="15" hidden="false" customHeight="false" outlineLevel="0" collapsed="false">
      <c r="K85" s="0" t="str">
        <f aca="false">IF(AND(A85&lt;&gt;"",B85&lt;&gt;""),B85-A85,"")</f>
        <v/>
      </c>
    </row>
    <row r="86" customFormat="false" ht="15" hidden="false" customHeight="false" outlineLevel="0" collapsed="false">
      <c r="K86" s="0" t="str">
        <f aca="false">IF(AND(A86&lt;&gt;"",B86&lt;&gt;""),B86-A86,"")</f>
        <v/>
      </c>
    </row>
    <row r="87" customFormat="false" ht="15" hidden="false" customHeight="false" outlineLevel="0" collapsed="false">
      <c r="K87" s="0" t="str">
        <f aca="false">IF(AND(A87&lt;&gt;"",B87&lt;&gt;""),B87-A87,"")</f>
        <v/>
      </c>
    </row>
    <row r="88" customFormat="false" ht="15" hidden="false" customHeight="false" outlineLevel="0" collapsed="false">
      <c r="K88" s="0" t="str">
        <f aca="false">IF(AND(A88&lt;&gt;"",B88&lt;&gt;""),B88-A88,"")</f>
        <v/>
      </c>
    </row>
    <row r="89" customFormat="false" ht="15" hidden="false" customHeight="false" outlineLevel="0" collapsed="false">
      <c r="K89" s="0" t="str">
        <f aca="false">IF(AND(A89&lt;&gt;"",B89&lt;&gt;""),B89-A89,"")</f>
        <v/>
      </c>
    </row>
    <row r="90" customFormat="false" ht="15" hidden="false" customHeight="false" outlineLevel="0" collapsed="false">
      <c r="K90" s="0" t="str">
        <f aca="false">IF(AND(A90&lt;&gt;"",B90&lt;&gt;""),B90-A90,"")</f>
        <v/>
      </c>
    </row>
    <row r="91" customFormat="false" ht="15" hidden="false" customHeight="false" outlineLevel="0" collapsed="false">
      <c r="K91" s="0" t="str">
        <f aca="false">IF(AND(A91&lt;&gt;"",B91&lt;&gt;""),B91-A91,"")</f>
        <v/>
      </c>
    </row>
    <row r="92" customFormat="false" ht="15" hidden="false" customHeight="false" outlineLevel="0" collapsed="false">
      <c r="K92" s="0" t="str">
        <f aca="false">IF(AND(A92&lt;&gt;"",B92&lt;&gt;""),B92-A92,"")</f>
        <v/>
      </c>
    </row>
    <row r="93" customFormat="false" ht="15" hidden="false" customHeight="false" outlineLevel="0" collapsed="false">
      <c r="K93" s="0" t="str">
        <f aca="false">IF(AND(A93&lt;&gt;"",B93&lt;&gt;""),B93-A93,"")</f>
        <v/>
      </c>
    </row>
    <row r="94" customFormat="false" ht="15" hidden="false" customHeight="false" outlineLevel="0" collapsed="false">
      <c r="K94" s="0" t="str">
        <f aca="false">IF(AND(A94&lt;&gt;"",B94&lt;&gt;""),B94-A94,"")</f>
        <v/>
      </c>
    </row>
    <row r="95" customFormat="false" ht="15" hidden="false" customHeight="false" outlineLevel="0" collapsed="false">
      <c r="K95" s="0" t="str">
        <f aca="false">IF(AND(A95&lt;&gt;"",B95&lt;&gt;""),B95-A95,"")</f>
        <v/>
      </c>
    </row>
    <row r="96" customFormat="false" ht="15" hidden="false" customHeight="false" outlineLevel="0" collapsed="false">
      <c r="K96" s="0" t="str">
        <f aca="false">IF(AND(A96&lt;&gt;"",B96&lt;&gt;""),B96-A96,"")</f>
        <v/>
      </c>
    </row>
    <row r="97" customFormat="false" ht="15" hidden="false" customHeight="false" outlineLevel="0" collapsed="false">
      <c r="K97" s="0" t="str">
        <f aca="false">IF(AND(A97&lt;&gt;"",B97&lt;&gt;""),B97-A97,"")</f>
        <v/>
      </c>
    </row>
    <row r="98" customFormat="false" ht="15" hidden="false" customHeight="false" outlineLevel="0" collapsed="false">
      <c r="K98" s="0" t="str">
        <f aca="false">IF(AND(A98&lt;&gt;"",B98&lt;&gt;""),B98-A98,"")</f>
        <v/>
      </c>
    </row>
    <row r="99" customFormat="false" ht="15" hidden="false" customHeight="false" outlineLevel="0" collapsed="false">
      <c r="K99" s="0" t="str">
        <f aca="false">IF(AND(A99&lt;&gt;"",B99&lt;&gt;""),B99-A99,"")</f>
        <v/>
      </c>
    </row>
    <row r="100" customFormat="false" ht="15" hidden="false" customHeight="false" outlineLevel="0" collapsed="false">
      <c r="K100" s="0" t="str">
        <f aca="false">IF(AND(A100&lt;&gt;"",B100&lt;&gt;""),B100-A100,"")</f>
        <v/>
      </c>
    </row>
    <row r="101" customFormat="false" ht="15" hidden="false" customHeight="false" outlineLevel="0" collapsed="false">
      <c r="K101" s="0" t="str">
        <f aca="false">IF(AND(A101&lt;&gt;"",B101&lt;&gt;""),B101-A101,"")</f>
        <v/>
      </c>
    </row>
    <row r="102" customFormat="false" ht="15" hidden="false" customHeight="false" outlineLevel="0" collapsed="false">
      <c r="K102" s="0" t="str">
        <f aca="false">IF(AND(A102&lt;&gt;"",B102&lt;&gt;""),B102-A102,"")</f>
        <v/>
      </c>
    </row>
    <row r="103" customFormat="false" ht="15" hidden="false" customHeight="false" outlineLevel="0" collapsed="false">
      <c r="K103" s="0" t="str">
        <f aca="false">IF(AND(A103&lt;&gt;"",B103&lt;&gt;""),B103-A103,"")</f>
        <v/>
      </c>
    </row>
    <row r="104" customFormat="false" ht="15" hidden="false" customHeight="false" outlineLevel="0" collapsed="false">
      <c r="K104" s="0" t="str">
        <f aca="false">IF(AND(A104&lt;&gt;"",B104&lt;&gt;""),B104-A104,"")</f>
        <v/>
      </c>
    </row>
    <row r="105" customFormat="false" ht="15" hidden="false" customHeight="false" outlineLevel="0" collapsed="false">
      <c r="K105" s="0" t="str">
        <f aca="false">IF(AND(A105&lt;&gt;"",B105&lt;&gt;""),B105-A105,"")</f>
        <v/>
      </c>
    </row>
    <row r="106" customFormat="false" ht="15" hidden="false" customHeight="false" outlineLevel="0" collapsed="false">
      <c r="K106" s="0" t="str">
        <f aca="false">IF(AND(A106&lt;&gt;"",B106&lt;&gt;""),B106-A106,"")</f>
        <v/>
      </c>
    </row>
    <row r="107" customFormat="false" ht="15" hidden="false" customHeight="false" outlineLevel="0" collapsed="false">
      <c r="K107" s="0" t="str">
        <f aca="false">IF(AND(A107&lt;&gt;"",B107&lt;&gt;""),B107-A107,"")</f>
        <v/>
      </c>
    </row>
    <row r="108" customFormat="false" ht="15" hidden="false" customHeight="false" outlineLevel="0" collapsed="false">
      <c r="K108" s="0" t="str">
        <f aca="false">IF(AND(A108&lt;&gt;"",B108&lt;&gt;""),B108-A108,"")</f>
        <v/>
      </c>
    </row>
    <row r="109" customFormat="false" ht="15" hidden="false" customHeight="false" outlineLevel="0" collapsed="false">
      <c r="K109" s="0" t="str">
        <f aca="false">IF(AND(A109&lt;&gt;"",B109&lt;&gt;""),B109-A109,"")</f>
        <v/>
      </c>
    </row>
    <row r="110" customFormat="false" ht="15" hidden="false" customHeight="false" outlineLevel="0" collapsed="false">
      <c r="K110" s="0" t="str">
        <f aca="false">IF(AND(A110&lt;&gt;"",B110&lt;&gt;""),B110-A110,"")</f>
        <v/>
      </c>
    </row>
    <row r="111" customFormat="false" ht="15" hidden="false" customHeight="false" outlineLevel="0" collapsed="false">
      <c r="K111" s="0" t="str">
        <f aca="false">IF(AND(A111&lt;&gt;"",B111&lt;&gt;""),B111-A111,"")</f>
        <v/>
      </c>
    </row>
    <row r="112" customFormat="false" ht="15" hidden="false" customHeight="false" outlineLevel="0" collapsed="false">
      <c r="K112" s="0" t="str">
        <f aca="false">IF(AND(A112&lt;&gt;"",B112&lt;&gt;""),B112-A112,"")</f>
        <v/>
      </c>
    </row>
    <row r="113" customFormat="false" ht="15" hidden="false" customHeight="false" outlineLevel="0" collapsed="false">
      <c r="K113" s="0" t="str">
        <f aca="false">IF(AND(A113&lt;&gt;"",B113&lt;&gt;""),B113-A113,"")</f>
        <v/>
      </c>
    </row>
    <row r="114" customFormat="false" ht="15" hidden="false" customHeight="false" outlineLevel="0" collapsed="false">
      <c r="K114" s="0" t="str">
        <f aca="false">IF(AND(A114&lt;&gt;"",B114&lt;&gt;""),B114-A114,"")</f>
        <v/>
      </c>
    </row>
    <row r="115" customFormat="false" ht="15" hidden="false" customHeight="false" outlineLevel="0" collapsed="false">
      <c r="K115" s="0" t="str">
        <f aca="false">IF(AND(A115&lt;&gt;"",B115&lt;&gt;""),B115-A115,"")</f>
        <v/>
      </c>
    </row>
    <row r="116" customFormat="false" ht="15" hidden="false" customHeight="false" outlineLevel="0" collapsed="false">
      <c r="K116" s="0" t="str">
        <f aca="false">IF(AND(A116&lt;&gt;"",B116&lt;&gt;""),B116-A116,"")</f>
        <v/>
      </c>
    </row>
    <row r="117" customFormat="false" ht="15" hidden="false" customHeight="false" outlineLevel="0" collapsed="false">
      <c r="K117" s="0" t="str">
        <f aca="false">IF(AND(A117&lt;&gt;"",B117&lt;&gt;""),B117-A117,"")</f>
        <v/>
      </c>
    </row>
    <row r="118" customFormat="false" ht="15" hidden="false" customHeight="false" outlineLevel="0" collapsed="false">
      <c r="K118" s="0" t="str">
        <f aca="false">IF(AND(A118&lt;&gt;"",B118&lt;&gt;""),B118-A118,"")</f>
        <v/>
      </c>
    </row>
    <row r="119" customFormat="false" ht="15" hidden="false" customHeight="false" outlineLevel="0" collapsed="false">
      <c r="K119" s="0" t="str">
        <f aca="false">IF(AND(A119&lt;&gt;"",B119&lt;&gt;""),B119-A119,"")</f>
        <v/>
      </c>
    </row>
    <row r="120" customFormat="false" ht="15" hidden="false" customHeight="false" outlineLevel="0" collapsed="false">
      <c r="K120" s="0" t="str">
        <f aca="false">IF(AND(A120&lt;&gt;"",B120&lt;&gt;""),B120-A120,"")</f>
        <v/>
      </c>
    </row>
    <row r="121" customFormat="false" ht="15" hidden="false" customHeight="false" outlineLevel="0" collapsed="false">
      <c r="K121" s="0" t="str">
        <f aca="false">IF(AND(A121&lt;&gt;"",B121&lt;&gt;""),B121-A121,"")</f>
        <v/>
      </c>
    </row>
    <row r="122" customFormat="false" ht="15" hidden="false" customHeight="false" outlineLevel="0" collapsed="false">
      <c r="K122" s="0" t="str">
        <f aca="false">IF(AND(A122&lt;&gt;"",B122&lt;&gt;""),B122-A122,"")</f>
        <v/>
      </c>
    </row>
    <row r="123" customFormat="false" ht="15" hidden="false" customHeight="false" outlineLevel="0" collapsed="false">
      <c r="K123" s="0" t="str">
        <f aca="false">IF(AND(A123&lt;&gt;"",B123&lt;&gt;""),B123-A123,"")</f>
        <v/>
      </c>
    </row>
    <row r="124" customFormat="false" ht="15" hidden="false" customHeight="false" outlineLevel="0" collapsed="false">
      <c r="K124" s="0" t="str">
        <f aca="false">IF(AND(A124&lt;&gt;"",B124&lt;&gt;""),B124-A124,"")</f>
        <v/>
      </c>
    </row>
    <row r="125" customFormat="false" ht="15" hidden="false" customHeight="false" outlineLevel="0" collapsed="false">
      <c r="K125" s="0" t="str">
        <f aca="false">IF(AND(A125&lt;&gt;"",B125&lt;&gt;""),B125-A125,"")</f>
        <v/>
      </c>
    </row>
    <row r="126" customFormat="false" ht="15" hidden="false" customHeight="false" outlineLevel="0" collapsed="false">
      <c r="K126" s="0" t="str">
        <f aca="false">IF(AND(A126&lt;&gt;"",B126&lt;&gt;""),B126-A126,"")</f>
        <v/>
      </c>
    </row>
    <row r="127" customFormat="false" ht="15" hidden="false" customHeight="false" outlineLevel="0" collapsed="false">
      <c r="K127" s="0" t="str">
        <f aca="false">IF(AND(A127&lt;&gt;"",B127&lt;&gt;""),B127-A127,"")</f>
        <v/>
      </c>
    </row>
    <row r="128" customFormat="false" ht="15" hidden="false" customHeight="false" outlineLevel="0" collapsed="false">
      <c r="K128" s="0" t="str">
        <f aca="false">IF(AND(A128&lt;&gt;"",B128&lt;&gt;""),B128-A128,"")</f>
        <v/>
      </c>
    </row>
    <row r="129" customFormat="false" ht="15" hidden="false" customHeight="false" outlineLevel="0" collapsed="false">
      <c r="K129" s="0" t="str">
        <f aca="false">IF(AND(A129&lt;&gt;"",B129&lt;&gt;""),B129-A129,"")</f>
        <v/>
      </c>
    </row>
    <row r="130" customFormat="false" ht="15" hidden="false" customHeight="false" outlineLevel="0" collapsed="false">
      <c r="K130" s="0" t="str">
        <f aca="false">IF(AND(A130&lt;&gt;"",B130&lt;&gt;""),B130-A130,"")</f>
        <v/>
      </c>
    </row>
    <row r="131" customFormat="false" ht="15" hidden="false" customHeight="false" outlineLevel="0" collapsed="false">
      <c r="K131" s="0" t="str">
        <f aca="false">IF(AND(A131&lt;&gt;"",B131&lt;&gt;""),B131-A131,"")</f>
        <v/>
      </c>
    </row>
    <row r="132" customFormat="false" ht="15" hidden="false" customHeight="false" outlineLevel="0" collapsed="false">
      <c r="K132" s="0" t="str">
        <f aca="false">IF(AND(A132&lt;&gt;"",B132&lt;&gt;""),B132-A132,"")</f>
        <v/>
      </c>
    </row>
    <row r="133" customFormat="false" ht="15" hidden="false" customHeight="false" outlineLevel="0" collapsed="false">
      <c r="K133" s="0" t="str">
        <f aca="false">IF(AND(A133&lt;&gt;"",B133&lt;&gt;""),B133-A133,"")</f>
        <v/>
      </c>
    </row>
    <row r="134" customFormat="false" ht="15" hidden="false" customHeight="false" outlineLevel="0" collapsed="false">
      <c r="K134" s="0" t="str">
        <f aca="false">IF(AND(A134&lt;&gt;"",B134&lt;&gt;""),B134-A134,"")</f>
        <v/>
      </c>
    </row>
    <row r="135" customFormat="false" ht="15" hidden="false" customHeight="false" outlineLevel="0" collapsed="false">
      <c r="K135" s="0" t="str">
        <f aca="false">IF(AND(A135&lt;&gt;"",B135&lt;&gt;""),B135-A135,"")</f>
        <v/>
      </c>
    </row>
    <row r="136" customFormat="false" ht="15" hidden="false" customHeight="false" outlineLevel="0" collapsed="false">
      <c r="K136" s="0" t="str">
        <f aca="false">IF(AND(A136&lt;&gt;"",B136&lt;&gt;""),B136-A136,"")</f>
        <v/>
      </c>
    </row>
    <row r="137" customFormat="false" ht="15" hidden="false" customHeight="false" outlineLevel="0" collapsed="false">
      <c r="K137" s="0" t="str">
        <f aca="false">IF(AND(A137&lt;&gt;"",B137&lt;&gt;""),B137-A137,"")</f>
        <v/>
      </c>
    </row>
    <row r="138" customFormat="false" ht="15" hidden="false" customHeight="false" outlineLevel="0" collapsed="false">
      <c r="K138" s="0" t="str">
        <f aca="false">IF(AND(A138&lt;&gt;"",B138&lt;&gt;""),B138-A138,"")</f>
        <v/>
      </c>
    </row>
    <row r="139" customFormat="false" ht="15" hidden="false" customHeight="false" outlineLevel="0" collapsed="false">
      <c r="K139" s="0" t="str">
        <f aca="false">IF(AND(A139&lt;&gt;"",B139&lt;&gt;""),B139-A139,"")</f>
        <v/>
      </c>
    </row>
    <row r="140" customFormat="false" ht="15" hidden="false" customHeight="false" outlineLevel="0" collapsed="false">
      <c r="K140" s="0" t="str">
        <f aca="false">IF(AND(A140&lt;&gt;"",B140&lt;&gt;""),B140-A140,"")</f>
        <v/>
      </c>
    </row>
    <row r="141" customFormat="false" ht="15" hidden="false" customHeight="false" outlineLevel="0" collapsed="false">
      <c r="K141" s="0" t="str">
        <f aca="false">IF(AND(A141&lt;&gt;"",B141&lt;&gt;""),B141-A141,"")</f>
        <v/>
      </c>
    </row>
    <row r="142" customFormat="false" ht="15" hidden="false" customHeight="false" outlineLevel="0" collapsed="false">
      <c r="K142" s="0" t="str">
        <f aca="false">IF(AND(A142&lt;&gt;"",B142&lt;&gt;""),B142-A142,"")</f>
        <v/>
      </c>
    </row>
    <row r="143" customFormat="false" ht="15" hidden="false" customHeight="false" outlineLevel="0" collapsed="false">
      <c r="K143" s="0" t="str">
        <f aca="false">IF(AND(A143&lt;&gt;"",B143&lt;&gt;""),B143-A143,"")</f>
        <v/>
      </c>
    </row>
    <row r="144" customFormat="false" ht="15" hidden="false" customHeight="false" outlineLevel="0" collapsed="false">
      <c r="K144" s="0" t="str">
        <f aca="false">IF(AND(A144&lt;&gt;"",B144&lt;&gt;""),B144-A144,"")</f>
        <v/>
      </c>
    </row>
    <row r="145" customFormat="false" ht="15" hidden="false" customHeight="false" outlineLevel="0" collapsed="false">
      <c r="K145" s="0" t="str">
        <f aca="false">IF(AND(A145&lt;&gt;"",B145&lt;&gt;""),B145-A145,"")</f>
        <v/>
      </c>
    </row>
    <row r="146" customFormat="false" ht="15" hidden="false" customHeight="false" outlineLevel="0" collapsed="false">
      <c r="K146" s="0" t="str">
        <f aca="false">IF(AND(A146&lt;&gt;"",B146&lt;&gt;""),B146-A146,"")</f>
        <v/>
      </c>
    </row>
    <row r="147" customFormat="false" ht="15" hidden="false" customHeight="false" outlineLevel="0" collapsed="false">
      <c r="K147" s="0" t="str">
        <f aca="false">IF(AND(A147&lt;&gt;"",B147&lt;&gt;""),B147-A147,"")</f>
        <v/>
      </c>
    </row>
    <row r="148" customFormat="false" ht="15" hidden="false" customHeight="false" outlineLevel="0" collapsed="false">
      <c r="K148" s="0" t="str">
        <f aca="false">IF(AND(A148&lt;&gt;"",B148&lt;&gt;""),B148-A148,"")</f>
        <v/>
      </c>
    </row>
    <row r="149" customFormat="false" ht="15" hidden="false" customHeight="false" outlineLevel="0" collapsed="false">
      <c r="K149" s="0" t="str">
        <f aca="false">IF(AND(A149&lt;&gt;"",B149&lt;&gt;""),B149-A149,"")</f>
        <v/>
      </c>
    </row>
    <row r="150" customFormat="false" ht="15" hidden="false" customHeight="false" outlineLevel="0" collapsed="false">
      <c r="K150" s="0" t="str">
        <f aca="false">IF(AND(A150&lt;&gt;"",B150&lt;&gt;""),B150-A150,"")</f>
        <v/>
      </c>
    </row>
    <row r="151" customFormat="false" ht="15" hidden="false" customHeight="false" outlineLevel="0" collapsed="false">
      <c r="K151" s="0" t="str">
        <f aca="false">IF(AND(A151&lt;&gt;"",B151&lt;&gt;""),B151-A151,"")</f>
        <v/>
      </c>
    </row>
    <row r="152" customFormat="false" ht="15" hidden="false" customHeight="false" outlineLevel="0" collapsed="false">
      <c r="K152" s="0" t="str">
        <f aca="false">IF(AND(A152&lt;&gt;"",B152&lt;&gt;""),B152-A152,"")</f>
        <v/>
      </c>
    </row>
    <row r="153" customFormat="false" ht="15" hidden="false" customHeight="false" outlineLevel="0" collapsed="false">
      <c r="K153" s="0" t="str">
        <f aca="false">IF(AND(A153&lt;&gt;"",B153&lt;&gt;""),B153-A153,"")</f>
        <v/>
      </c>
    </row>
    <row r="154" customFormat="false" ht="15" hidden="false" customHeight="false" outlineLevel="0" collapsed="false">
      <c r="K154" s="0" t="str">
        <f aca="false">IF(AND(A154&lt;&gt;"",B154&lt;&gt;""),B154-A154,"")</f>
        <v/>
      </c>
    </row>
    <row r="155" customFormat="false" ht="15" hidden="false" customHeight="false" outlineLevel="0" collapsed="false">
      <c r="K155" s="0" t="str">
        <f aca="false">IF(AND(A155&lt;&gt;"",B155&lt;&gt;""),B155-A155,"")</f>
        <v/>
      </c>
    </row>
    <row r="156" customFormat="false" ht="15" hidden="false" customHeight="false" outlineLevel="0" collapsed="false">
      <c r="K156" s="0" t="str">
        <f aca="false">IF(AND(A156&lt;&gt;"",B156&lt;&gt;""),B156-A156,"")</f>
        <v/>
      </c>
    </row>
    <row r="157" customFormat="false" ht="15" hidden="false" customHeight="false" outlineLevel="0" collapsed="false">
      <c r="K157" s="0" t="str">
        <f aca="false">IF(AND(A157&lt;&gt;"",B157&lt;&gt;""),B157-A157,"")</f>
        <v/>
      </c>
    </row>
    <row r="158" customFormat="false" ht="15" hidden="false" customHeight="false" outlineLevel="0" collapsed="false">
      <c r="K158" s="0" t="str">
        <f aca="false">IF(AND(A158&lt;&gt;"",B158&lt;&gt;""),B158-A158,"")</f>
        <v/>
      </c>
    </row>
    <row r="159" customFormat="false" ht="15" hidden="false" customHeight="false" outlineLevel="0" collapsed="false">
      <c r="K159" s="0" t="str">
        <f aca="false">IF(AND(A159&lt;&gt;"",B159&lt;&gt;""),B159-A159,"")</f>
        <v/>
      </c>
    </row>
    <row r="160" customFormat="false" ht="15" hidden="false" customHeight="false" outlineLevel="0" collapsed="false">
      <c r="K160" s="0" t="str">
        <f aca="false">IF(AND(A160&lt;&gt;"",B160&lt;&gt;""),B160-A160,"")</f>
        <v/>
      </c>
    </row>
    <row r="161" customFormat="false" ht="15" hidden="false" customHeight="false" outlineLevel="0" collapsed="false">
      <c r="K161" s="0" t="str">
        <f aca="false">IF(AND(A161&lt;&gt;"",B161&lt;&gt;""),B161-A161,"")</f>
        <v/>
      </c>
    </row>
    <row r="162" customFormat="false" ht="15" hidden="false" customHeight="false" outlineLevel="0" collapsed="false">
      <c r="K162" s="0" t="str">
        <f aca="false">IF(AND(A162&lt;&gt;"",B162&lt;&gt;""),B162-A162,"")</f>
        <v/>
      </c>
    </row>
    <row r="163" customFormat="false" ht="15" hidden="false" customHeight="false" outlineLevel="0" collapsed="false">
      <c r="K163" s="0" t="str">
        <f aca="false">IF(AND(A163&lt;&gt;"",B163&lt;&gt;""),B163-A163,"")</f>
        <v/>
      </c>
    </row>
    <row r="164" customFormat="false" ht="15" hidden="false" customHeight="false" outlineLevel="0" collapsed="false">
      <c r="K164" s="0" t="str">
        <f aca="false">IF(AND(A164&lt;&gt;"",B164&lt;&gt;""),B164-A164,"")</f>
        <v/>
      </c>
    </row>
    <row r="165" customFormat="false" ht="15" hidden="false" customHeight="false" outlineLevel="0" collapsed="false">
      <c r="K165" s="0" t="str">
        <f aca="false">IF(AND(A165&lt;&gt;"",B165&lt;&gt;""),B165-A165,"")</f>
        <v/>
      </c>
    </row>
    <row r="166" customFormat="false" ht="15" hidden="false" customHeight="false" outlineLevel="0" collapsed="false">
      <c r="K166" s="0" t="str">
        <f aca="false">IF(AND(A166&lt;&gt;"",B166&lt;&gt;""),B166-A166,"")</f>
        <v/>
      </c>
    </row>
    <row r="167" customFormat="false" ht="15" hidden="false" customHeight="false" outlineLevel="0" collapsed="false">
      <c r="K167" s="0" t="str">
        <f aca="false">IF(AND(A167&lt;&gt;"",B167&lt;&gt;""),B167-A167,"")</f>
        <v/>
      </c>
    </row>
    <row r="168" customFormat="false" ht="15" hidden="false" customHeight="false" outlineLevel="0" collapsed="false">
      <c r="K168" s="0" t="str">
        <f aca="false">IF(AND(A168&lt;&gt;"",B168&lt;&gt;""),B168-A168,"")</f>
        <v/>
      </c>
    </row>
    <row r="169" customFormat="false" ht="15" hidden="false" customHeight="false" outlineLevel="0" collapsed="false">
      <c r="K169" s="0" t="str">
        <f aca="false">IF(AND(A169&lt;&gt;"",B169&lt;&gt;""),B169-A169,"")</f>
        <v/>
      </c>
    </row>
    <row r="170" customFormat="false" ht="15" hidden="false" customHeight="false" outlineLevel="0" collapsed="false">
      <c r="K170" s="0" t="str">
        <f aca="false">IF(AND(A170&lt;&gt;"",B170&lt;&gt;""),B170-A170,"")</f>
        <v/>
      </c>
    </row>
    <row r="171" customFormat="false" ht="15" hidden="false" customHeight="false" outlineLevel="0" collapsed="false">
      <c r="K171" s="0" t="str">
        <f aca="false">IF(AND(A171&lt;&gt;"",B171&lt;&gt;""),B171-A171,"")</f>
        <v/>
      </c>
    </row>
    <row r="172" customFormat="false" ht="15" hidden="false" customHeight="false" outlineLevel="0" collapsed="false">
      <c r="K172" s="0" t="str">
        <f aca="false">IF(AND(A172&lt;&gt;"",B172&lt;&gt;""),B172-A172,"")</f>
        <v/>
      </c>
    </row>
    <row r="173" customFormat="false" ht="15" hidden="false" customHeight="false" outlineLevel="0" collapsed="false">
      <c r="K173" s="0" t="str">
        <f aca="false">IF(AND(A173&lt;&gt;"",B173&lt;&gt;""),B173-A173,"")</f>
        <v/>
      </c>
    </row>
    <row r="174" customFormat="false" ht="15" hidden="false" customHeight="false" outlineLevel="0" collapsed="false">
      <c r="K174" s="0" t="str">
        <f aca="false">IF(AND(A174&lt;&gt;"",B174&lt;&gt;""),B174-A174,"")</f>
        <v/>
      </c>
    </row>
    <row r="175" customFormat="false" ht="15" hidden="false" customHeight="false" outlineLevel="0" collapsed="false">
      <c r="K175" s="0" t="str">
        <f aca="false">IF(AND(A175&lt;&gt;"",B175&lt;&gt;""),B175-A175,"")</f>
        <v/>
      </c>
    </row>
    <row r="176" customFormat="false" ht="15" hidden="false" customHeight="false" outlineLevel="0" collapsed="false">
      <c r="K176" s="0" t="str">
        <f aca="false">IF(AND(A176&lt;&gt;"",B176&lt;&gt;""),B176-A176,"")</f>
        <v/>
      </c>
    </row>
    <row r="177" customFormat="false" ht="15" hidden="false" customHeight="false" outlineLevel="0" collapsed="false">
      <c r="K177" s="0" t="str">
        <f aca="false">IF(AND(A177&lt;&gt;"",B177&lt;&gt;""),B177-A177,"")</f>
        <v/>
      </c>
    </row>
    <row r="178" customFormat="false" ht="15" hidden="false" customHeight="false" outlineLevel="0" collapsed="false">
      <c r="K178" s="0" t="str">
        <f aca="false">IF(AND(A178&lt;&gt;"",B178&lt;&gt;""),B178-A178,"")</f>
        <v/>
      </c>
    </row>
    <row r="179" customFormat="false" ht="15" hidden="false" customHeight="false" outlineLevel="0" collapsed="false">
      <c r="K179" s="0" t="str">
        <f aca="false">IF(AND(A179&lt;&gt;"",B179&lt;&gt;""),B179-A179,"")</f>
        <v/>
      </c>
    </row>
    <row r="180" customFormat="false" ht="15" hidden="false" customHeight="false" outlineLevel="0" collapsed="false">
      <c r="K180" s="0" t="str">
        <f aca="false">IF(AND(A180&lt;&gt;"",B180&lt;&gt;""),B180-A180,"")</f>
        <v/>
      </c>
    </row>
    <row r="181" customFormat="false" ht="15" hidden="false" customHeight="false" outlineLevel="0" collapsed="false">
      <c r="K181" s="0" t="str">
        <f aca="false">IF(AND(A181&lt;&gt;"",B181&lt;&gt;""),B181-A181,"")</f>
        <v/>
      </c>
    </row>
    <row r="182" customFormat="false" ht="15" hidden="false" customHeight="false" outlineLevel="0" collapsed="false">
      <c r="K182" s="0" t="str">
        <f aca="false">IF(AND(A182&lt;&gt;"",B182&lt;&gt;""),B182-A182,"")</f>
        <v/>
      </c>
    </row>
    <row r="183" customFormat="false" ht="15" hidden="false" customHeight="false" outlineLevel="0" collapsed="false">
      <c r="K183" s="0" t="str">
        <f aca="false">IF(AND(A183&lt;&gt;"",B183&lt;&gt;""),B183-A183,"")</f>
        <v/>
      </c>
    </row>
    <row r="184" customFormat="false" ht="15" hidden="false" customHeight="false" outlineLevel="0" collapsed="false">
      <c r="K184" s="0" t="str">
        <f aca="false">IF(AND(A184&lt;&gt;"",B184&lt;&gt;""),B184-A184,"")</f>
        <v/>
      </c>
    </row>
    <row r="185" customFormat="false" ht="15" hidden="false" customHeight="false" outlineLevel="0" collapsed="false">
      <c r="K185" s="0" t="str">
        <f aca="false">IF(AND(A185&lt;&gt;"",B185&lt;&gt;""),B185-A185,"")</f>
        <v/>
      </c>
    </row>
    <row r="186" customFormat="false" ht="15" hidden="false" customHeight="false" outlineLevel="0" collapsed="false">
      <c r="K186" s="0" t="str">
        <f aca="false">IF(AND(A186&lt;&gt;"",B186&lt;&gt;""),B186-A186,"")</f>
        <v/>
      </c>
    </row>
    <row r="187" customFormat="false" ht="15" hidden="false" customHeight="false" outlineLevel="0" collapsed="false">
      <c r="K187" s="0" t="str">
        <f aca="false">IF(AND(A187&lt;&gt;"",B187&lt;&gt;""),B187-A187,"")</f>
        <v/>
      </c>
    </row>
    <row r="188" customFormat="false" ht="15" hidden="false" customHeight="false" outlineLevel="0" collapsed="false">
      <c r="K188" s="0" t="str">
        <f aca="false">IF(AND(A188&lt;&gt;"",B188&lt;&gt;""),B188-A188,"")</f>
        <v/>
      </c>
    </row>
    <row r="189" customFormat="false" ht="15" hidden="false" customHeight="false" outlineLevel="0" collapsed="false">
      <c r="K189" s="0" t="str">
        <f aca="false">IF(AND(A189&lt;&gt;"",B189&lt;&gt;""),B189-A189,"")</f>
        <v/>
      </c>
    </row>
    <row r="190" customFormat="false" ht="15" hidden="false" customHeight="false" outlineLevel="0" collapsed="false">
      <c r="K190" s="0" t="str">
        <f aca="false">IF(AND(A190&lt;&gt;"",B190&lt;&gt;""),B190-A190,"")</f>
        <v/>
      </c>
    </row>
    <row r="191" customFormat="false" ht="15" hidden="false" customHeight="false" outlineLevel="0" collapsed="false">
      <c r="K191" s="0" t="str">
        <f aca="false">IF(AND(A191&lt;&gt;"",B191&lt;&gt;""),B191-A191,"")</f>
        <v/>
      </c>
    </row>
    <row r="192" customFormat="false" ht="15" hidden="false" customHeight="false" outlineLevel="0" collapsed="false">
      <c r="K192" s="0" t="str">
        <f aca="false">IF(AND(A192&lt;&gt;"",B192&lt;&gt;""),B192-A192,"")</f>
        <v/>
      </c>
    </row>
    <row r="193" customFormat="false" ht="15" hidden="false" customHeight="false" outlineLevel="0" collapsed="false">
      <c r="K193" s="0" t="str">
        <f aca="false">IF(AND(A193&lt;&gt;"",B193&lt;&gt;""),B193-A193,"")</f>
        <v/>
      </c>
    </row>
    <row r="194" customFormat="false" ht="15" hidden="false" customHeight="false" outlineLevel="0" collapsed="false">
      <c r="K194" s="0" t="str">
        <f aca="false">IF(AND(A194&lt;&gt;"",B194&lt;&gt;""),B194-A194,"")</f>
        <v/>
      </c>
    </row>
    <row r="195" customFormat="false" ht="15" hidden="false" customHeight="false" outlineLevel="0" collapsed="false">
      <c r="K195" s="0" t="str">
        <f aca="false">IF(AND(A195&lt;&gt;"",B195&lt;&gt;""),B195-A195,"")</f>
        <v/>
      </c>
    </row>
    <row r="196" customFormat="false" ht="15" hidden="false" customHeight="false" outlineLevel="0" collapsed="false">
      <c r="K196" s="0" t="str">
        <f aca="false">IF(AND(A196&lt;&gt;"",B196&lt;&gt;""),B196-A196,"")</f>
        <v/>
      </c>
    </row>
    <row r="197" customFormat="false" ht="15" hidden="false" customHeight="false" outlineLevel="0" collapsed="false">
      <c r="K197" s="0" t="str">
        <f aca="false">IF(AND(A197&lt;&gt;"",B197&lt;&gt;""),B197-A197,"")</f>
        <v/>
      </c>
    </row>
    <row r="198" customFormat="false" ht="15" hidden="false" customHeight="false" outlineLevel="0" collapsed="false">
      <c r="K198" s="0" t="str">
        <f aca="false">IF(AND(A198&lt;&gt;"",B198&lt;&gt;""),B198-A198,"")</f>
        <v/>
      </c>
    </row>
    <row r="199" customFormat="false" ht="15" hidden="false" customHeight="false" outlineLevel="0" collapsed="false">
      <c r="K199" s="0" t="str">
        <f aca="false">IF(AND(A199&lt;&gt;"",B199&lt;&gt;""),B199-A199,"")</f>
        <v/>
      </c>
    </row>
    <row r="200" customFormat="false" ht="15" hidden="false" customHeight="false" outlineLevel="0" collapsed="false">
      <c r="K200" s="0" t="str">
        <f aca="false">IF(AND(A200&lt;&gt;"",B200&lt;&gt;""),B200-A200,"")</f>
        <v/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</row>
    <row r="2" customFormat="false" ht="18" hidden="false" customHeight="true" outlineLevel="0" collapsed="false">
      <c r="A2" s="8" t="s">
        <v>35</v>
      </c>
      <c r="B2" s="8"/>
      <c r="C2" s="8"/>
      <c r="D2" s="8"/>
      <c r="E2" s="8"/>
    </row>
    <row r="4" customFormat="false" ht="30" hidden="false" customHeight="true" outlineLevel="0" collapsed="false">
      <c r="A4" s="9" t="s">
        <v>36</v>
      </c>
      <c r="B4" s="9"/>
      <c r="C4" s="9" t="s">
        <v>37</v>
      </c>
      <c r="D4" s="9"/>
      <c r="E4" s="9" t="s">
        <v>38</v>
      </c>
      <c r="F4" s="9"/>
    </row>
    <row r="5" customFormat="false" ht="30" hidden="false" customHeight="true" outlineLevel="0" collapsed="false">
      <c r="A5" s="10" t="n">
        <f aca="false">IFERROR(COUNTIFS('Données brutes'!$G$4:$G$200,"Rupture")/COUNTA('Données brutes'!$G$4:$G$200),"N/A")</f>
        <v>0.12</v>
      </c>
      <c r="B5" s="10"/>
      <c r="C5" s="11" t="n">
        <f aca="false">IFERROR(AVERAGEIFS('Données brutes'!$K$4:$K$200,'Données brutes'!$G$4:$G$200,"Livré"),"N/A")</f>
        <v>7.89473684210526</v>
      </c>
      <c r="D5" s="11"/>
      <c r="E5" s="12" t="n">
        <f aca="false">IFERROR(SUM('Données brutes'!$H$4:$H$200)/SUM('Données brutes'!$I$4:$I$200),"N/A")</f>
        <v>1.9223602484472</v>
      </c>
      <c r="F5" s="12"/>
    </row>
    <row r="7" customFormat="false" ht="21.75" hidden="false" customHeight="true" outlineLevel="0" collapsed="false">
      <c r="A7" s="13" t="s">
        <v>39</v>
      </c>
      <c r="B7" s="13"/>
      <c r="C7" s="13"/>
      <c r="D7" s="13"/>
      <c r="E7" s="13"/>
    </row>
    <row r="8" customFormat="false" ht="27.75" hidden="false" customHeight="true" outlineLevel="0" collapsed="false">
      <c r="A8" s="3" t="s">
        <v>4</v>
      </c>
      <c r="B8" s="3" t="s">
        <v>40</v>
      </c>
      <c r="C8" s="3" t="s">
        <v>41</v>
      </c>
      <c r="D8" s="3" t="s">
        <v>42</v>
      </c>
      <c r="E8" s="3" t="s">
        <v>43</v>
      </c>
    </row>
    <row r="9" customFormat="false" ht="15" hidden="false" customHeight="false" outlineLevel="0" collapsed="false">
      <c r="A9" s="14" t="s">
        <v>13</v>
      </c>
      <c r="B9" s="15" t="n">
        <f aca="false">IFERROR(COUNTIFS('Données brutes'!$C$4:$C$200,$A9,'Données brutes'!$G$4:$G$200,"Rupture")/COUNTIFS('Données brutes'!$C$4:$C$200,$A9),"N/A")</f>
        <v>0.166666666666667</v>
      </c>
      <c r="C9" s="16" t="n">
        <f aca="false">IFERROR(AVERAGEIFS('Données brutes'!$K$4:$K$200,'Données brutes'!$C$4:$C$200,$A9,'Données brutes'!$G$4:$G$200,"Livré"),"N/A")</f>
        <v>9.75</v>
      </c>
      <c r="D9" s="17" t="n">
        <f aca="false">IFERROR(SUMIFS('Données brutes'!$H$4:$H$200,'Données brutes'!$C$4:$C$200,$A9)/SUMIFS('Données brutes'!$I$4:$I$200,'Données brutes'!$C$4:$C$200,$A9),"N/A")</f>
        <v>2</v>
      </c>
      <c r="E9" s="18" t="n">
        <f aca="false">COUNTIFS('Données brutes'!$C$4:$C$200,$A9)</f>
        <v>6</v>
      </c>
    </row>
    <row r="10" customFormat="false" ht="15" hidden="false" customHeight="false" outlineLevel="0" collapsed="false">
      <c r="A10" s="19" t="s">
        <v>24</v>
      </c>
      <c r="B10" s="20" t="n">
        <f aca="false">IFERROR(COUNTIFS('Données brutes'!$C$4:$C$200,$A10,'Données brutes'!$G$4:$G$200,"Rupture")/COUNTIFS('Données brutes'!$C$4:$C$200,$A10),"N/A")</f>
        <v>0.166666666666667</v>
      </c>
      <c r="C10" s="21" t="n">
        <f aca="false">IFERROR(AVERAGEIFS('Données brutes'!$K$4:$K$200,'Données brutes'!$C$4:$C$200,$A10,'Données brutes'!$G$4:$G$200,"Livré"),"N/A")</f>
        <v>7.2</v>
      </c>
      <c r="D10" s="22" t="n">
        <f aca="false">IFERROR(SUMIFS('Données brutes'!$H$4:$H$200,'Données brutes'!$C$4:$C$200,$A10)/SUMIFS('Données brutes'!$I$4:$I$200,'Données brutes'!$C$4:$C$200,$A10),"N/A")</f>
        <v>1.9047619047619</v>
      </c>
      <c r="E10" s="23" t="n">
        <f aca="false">COUNTIFS('Données brutes'!$C$4:$C$200,$A10)</f>
        <v>6</v>
      </c>
    </row>
    <row r="11" customFormat="false" ht="15" hidden="false" customHeight="false" outlineLevel="0" collapsed="false">
      <c r="A11" s="14" t="s">
        <v>28</v>
      </c>
      <c r="B11" s="15" t="n">
        <f aca="false">IFERROR(COUNTIFS('Données brutes'!$C$4:$C$200,$A11,'Données brutes'!$G$4:$G$200,"Rupture")/COUNTIFS('Données brutes'!$C$4:$C$200,$A11),"N/A")</f>
        <v>0</v>
      </c>
      <c r="C11" s="16" t="n">
        <f aca="false">IFERROR(AVERAGEIFS('Données brutes'!$K$4:$K$200,'Données brutes'!$C$4:$C$200,$A11,'Données brutes'!$G$4:$G$200,"Livré"),"N/A")</f>
        <v>8</v>
      </c>
      <c r="D11" s="17" t="n">
        <f aca="false">IFERROR(SUMIFS('Données brutes'!$H$4:$H$200,'Données brutes'!$C$4:$C$200,$A11)/SUMIFS('Données brutes'!$I$4:$I$200,'Données brutes'!$C$4:$C$200,$A11),"N/A")</f>
        <v>1.95061728395062</v>
      </c>
      <c r="E11" s="18" t="n">
        <f aca="false">COUNTIFS('Données brutes'!$C$4:$C$200,$A11)</f>
        <v>6</v>
      </c>
    </row>
    <row r="12" customFormat="false" ht="15" hidden="false" customHeight="false" outlineLevel="0" collapsed="false">
      <c r="A12" s="19" t="s">
        <v>30</v>
      </c>
      <c r="B12" s="20" t="n">
        <f aca="false">IFERROR(COUNTIFS('Données brutes'!$C$4:$C$200,$A12,'Données brutes'!$G$4:$G$200,"Rupture")/COUNTIFS('Données brutes'!$C$4:$C$200,$A12),"N/A")</f>
        <v>0</v>
      </c>
      <c r="C12" s="21" t="n">
        <f aca="false">IFERROR(AVERAGEIFS('Données brutes'!$K$4:$K$200,'Données brutes'!$C$4:$C$200,$A12,'Données brutes'!$G$4:$G$200,"Livré"),"N/A")</f>
        <v>7</v>
      </c>
      <c r="D12" s="22" t="n">
        <f aca="false">IFERROR(SUMIFS('Données brutes'!$H$4:$H$200,'Données brutes'!$C$4:$C$200,$A12)/SUMIFS('Données brutes'!$I$4:$I$200,'Données brutes'!$C$4:$C$200,$A12),"N/A")</f>
        <v>1.85981308411215</v>
      </c>
      <c r="E12" s="23" t="n">
        <f aca="false">COUNTIFS('Données brutes'!$C$4:$C$200,$A12)</f>
        <v>6</v>
      </c>
    </row>
    <row r="14" customFormat="false" ht="15" hidden="false" customHeight="false" outlineLevel="0" collapsed="false">
      <c r="A14" s="8" t="s">
        <v>44</v>
      </c>
      <c r="B14" s="8"/>
      <c r="C14" s="8"/>
      <c r="D14" s="8"/>
      <c r="E14" s="8"/>
    </row>
  </sheetData>
  <mergeCells count="10">
    <mergeCell ref="A1:E1"/>
    <mergeCell ref="A2:E2"/>
    <mergeCell ref="A4:B4"/>
    <mergeCell ref="C4:D4"/>
    <mergeCell ref="E4:F4"/>
    <mergeCell ref="A5:B5"/>
    <mergeCell ref="C5:D5"/>
    <mergeCell ref="E5:F5"/>
    <mergeCell ref="A7:E7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2026-08-31T17:20:08Z</dcterms:created>
  <dc:creator>openpyxl</dc:creator>
  <dc:description/>
  <dc:language>fr-FR</dc:language>
  <cp:lastModifiedBy/>
  <dcterms:modified xsi:type="dcterms:W3CDTF">2026-08-31T17:20:08Z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