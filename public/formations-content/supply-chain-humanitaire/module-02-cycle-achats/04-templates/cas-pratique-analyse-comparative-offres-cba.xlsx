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s pratique CB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6B7280"/>
      <sz val="9"/>
    </font>
    <font>
      <name val="Arial"/>
      <charset val="1"/>
      <family val="0"/>
      <b val="1"/>
      <color rgb="FF1E3A8A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B91C1C"/>
      <sz val="8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B728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B7280"/>
      <sz val="10"/>
    </font>
  </fonts>
  <fills count="7">
    <fill>
      <patternFill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  <fill>
      <patternFill patternType="solid">
        <fgColor rgb="FFFEE2E2"/>
        <bgColor rgb="FFFFFBEB"/>
      </patternFill>
    </fill>
    <fill>
      <patternFill patternType="solid">
        <fgColor rgb="FFFFFBE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0" fontId="1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0" fontId="1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453125" defaultRowHeight="15" customHeight="0" zeroHeight="0" outlineLevelRow="0"/>
  <cols>
    <col width="30" customWidth="1" style="22" min="1" max="1"/>
    <col width="8" customWidth="1" style="22" min="2" max="2"/>
    <col width="10" customWidth="1" style="22" min="3" max="3"/>
    <col width="12" customWidth="1" style="22" min="4" max="4"/>
    <col width="11" customWidth="1" style="22" min="5" max="5"/>
    <col width="12" customWidth="1" style="22" min="6" max="6"/>
    <col width="30" customWidth="1" style="22" min="7" max="7"/>
    <col width="11" customWidth="1" style="22" min="8" max="8"/>
    <col width="12" customWidth="1" style="22" min="9" max="9"/>
    <col width="30" customWidth="1" style="22" min="10" max="10"/>
    <col width="11" customWidth="1" style="22" min="11" max="11"/>
    <col width="12" customWidth="1" style="22" min="12" max="12"/>
    <col width="30" customWidth="1" style="22" min="13" max="13"/>
  </cols>
  <sheetData>
    <row r="1" ht="27.75" customHeight="1" s="23">
      <c r="A1" s="24" t="inlineStr">
        <is>
          <t>CAS PRATIQUE — ANALYSE COMPARATIVE DES OFFRES (CBA)</t>
        </is>
      </c>
    </row>
    <row r="2" ht="15" customHeight="1" s="23">
      <c r="A2" s="25" t="inlineStr">
        <is>
          <t>Module 02 — Cycle Complet des Achats — De la RFQ à la PO — BK-BOOST Ltd.</t>
        </is>
      </c>
    </row>
    <row r="3" ht="7.5" customHeight="1" s="23"/>
    <row r="4" ht="19.5" customHeight="1" s="23">
      <c r="A4" s="26" t="inlineStr">
        <is>
          <t>Objet :</t>
        </is>
      </c>
      <c r="B4" s="27" t="inlineStr">
        <is>
          <t>Fournitures matériel WASH pour intervention</t>
        </is>
      </c>
      <c r="C4" s="28" t="n"/>
      <c r="D4" s="28" t="n"/>
      <c r="E4" s="26" t="inlineStr">
        <is>
          <t>RFQ # :</t>
        </is>
      </c>
      <c r="F4" s="27" t="inlineStr">
        <is>
          <t>RFQ/2026/001</t>
        </is>
      </c>
      <c r="H4" s="26" t="inlineStr">
        <is>
          <t>Devise de référence :</t>
        </is>
      </c>
      <c r="I4" s="27" t="inlineStr">
        <is>
          <t>[devise locale]</t>
        </is>
      </c>
      <c r="J4" s="28" t="n"/>
      <c r="K4" s="28" t="n"/>
      <c r="L4" s="28" t="n"/>
      <c r="M4" s="28" t="n"/>
    </row>
    <row r="6" ht="21.75" customHeight="1" s="23">
      <c r="A6" s="29" t="inlineStr">
        <is>
          <t>Article</t>
        </is>
      </c>
      <c r="B6" s="29" t="inlineStr">
        <is>
          <t>Unité</t>
        </is>
      </c>
      <c r="C6" s="29" t="inlineStr">
        <is>
          <t>Qté (IR)</t>
        </is>
      </c>
      <c r="D6" s="29" t="inlineStr">
        <is>
          <t>Qté retenue (convergence offres)</t>
        </is>
      </c>
      <c r="E6" s="29" t="inlineStr">
        <is>
          <t>FOURNISSEUR A</t>
        </is>
      </c>
      <c r="H6" s="29" t="inlineStr">
        <is>
          <t>FOURNISSEUR B</t>
        </is>
      </c>
      <c r="K6" s="29" t="inlineStr">
        <is>
          <t>FOURNISSEUR C</t>
        </is>
      </c>
    </row>
    <row r="7" ht="30" customHeight="1" s="23">
      <c r="E7" s="30" t="inlineStr">
        <is>
          <t>Prix unitaire</t>
        </is>
      </c>
      <c r="F7" s="30" t="inlineStr">
        <is>
          <t>Prix total</t>
        </is>
      </c>
      <c r="G7" s="30" t="inlineStr">
        <is>
          <t>Commentaire</t>
        </is>
      </c>
      <c r="H7" s="30" t="inlineStr">
        <is>
          <t>Prix unitaire</t>
        </is>
      </c>
      <c r="I7" s="30" t="inlineStr">
        <is>
          <t>Prix total</t>
        </is>
      </c>
      <c r="J7" s="30" t="inlineStr">
        <is>
          <t>Commentaire</t>
        </is>
      </c>
      <c r="K7" s="30" t="inlineStr">
        <is>
          <t>Prix unitaire</t>
        </is>
      </c>
      <c r="L7" s="30" t="inlineStr">
        <is>
          <t>Prix total</t>
        </is>
      </c>
      <c r="M7" s="30" t="inlineStr">
        <is>
          <t>Commentaire</t>
        </is>
      </c>
    </row>
    <row r="8" ht="24" customHeight="1" s="23">
      <c r="A8" s="31" t="inlineStr">
        <is>
          <t>Tuyau polyéthylène PEHD diamètre 90mm</t>
        </is>
      </c>
      <c r="B8" s="32" t="inlineStr">
        <is>
          <t>ml</t>
        </is>
      </c>
      <c r="C8" s="32" t="n">
        <v>500</v>
      </c>
      <c r="D8" s="32" t="n">
        <v>500</v>
      </c>
      <c r="E8" s="32" t="n">
        <v>18</v>
      </c>
      <c r="F8" s="32" t="n">
        <v>9000</v>
      </c>
      <c r="G8" s="33" t="n"/>
      <c r="H8" s="32" t="n">
        <v>19</v>
      </c>
      <c r="I8" s="32" t="n">
        <v>9500</v>
      </c>
      <c r="J8" s="33" t="n"/>
      <c r="K8" s="32" t="n">
        <v>17.5</v>
      </c>
      <c r="L8" s="32" t="n">
        <v>8750</v>
      </c>
      <c r="M8" s="33" t="n"/>
    </row>
    <row r="9" ht="45.75" customHeight="1" s="23">
      <c r="A9" s="34" t="inlineStr">
        <is>
          <t>Raccord en T</t>
        </is>
      </c>
      <c r="B9" s="35" t="inlineStr">
        <is>
          <t>pièce</t>
        </is>
      </c>
      <c r="C9" s="35" t="n">
        <v>80</v>
      </c>
      <c r="D9" s="35" t="n">
        <v>80</v>
      </c>
      <c r="E9" s="35" t="n">
        <v>4.2</v>
      </c>
      <c r="F9" s="35" t="n">
        <v>336</v>
      </c>
      <c r="G9" s="33" t="n"/>
      <c r="H9" s="35" t="n"/>
      <c r="I9" s="35" t="n"/>
      <c r="J9" s="36" t="inlineStr">
        <is>
          <t>Article listé mais non chiffré par le fournisseur</t>
        </is>
      </c>
      <c r="K9" s="35" t="n">
        <v>4.6</v>
      </c>
      <c r="L9" s="35" t="n">
        <v>368</v>
      </c>
      <c r="M9" s="33" t="n"/>
    </row>
    <row r="10" ht="45.75" customHeight="1" s="23">
      <c r="A10" s="31" t="inlineStr">
        <is>
          <t>Kit moto-pompe</t>
        </is>
      </c>
      <c r="B10" s="32" t="inlineStr">
        <is>
          <t>unité</t>
        </is>
      </c>
      <c r="C10" s="32" t="n">
        <v>6</v>
      </c>
      <c r="D10" s="32" t="n">
        <v>6</v>
      </c>
      <c r="E10" s="32" t="n">
        <v>9200</v>
      </c>
      <c r="F10" s="32" t="n">
        <v>55200</v>
      </c>
      <c r="G10" s="33" t="n"/>
      <c r="H10" s="32" t="n">
        <v>8950</v>
      </c>
      <c r="I10" s="32" t="n">
        <v>53700</v>
      </c>
      <c r="J10" s="33" t="n"/>
      <c r="K10" s="37" t="n">
        <v>250</v>
      </c>
      <c r="L10" s="32" t="n">
        <v>1500</v>
      </c>
      <c r="M10" s="36" t="inlineStr">
        <is>
          <t>Prix unitaire nettement inférieur aux 2 autres offres — à vérifier avant attribution</t>
        </is>
      </c>
    </row>
    <row r="11" ht="45.75" customHeight="1" s="23">
      <c r="A11" s="34" t="inlineStr">
        <is>
          <t>Réservoir PVC 10000L</t>
        </is>
      </c>
      <c r="B11" s="35" t="inlineStr">
        <is>
          <t>unité</t>
        </is>
      </c>
      <c r="C11" s="35" t="n">
        <v>4</v>
      </c>
      <c r="D11" s="35" t="n">
        <v>4</v>
      </c>
      <c r="E11" s="35" t="n">
        <v>1850</v>
      </c>
      <c r="F11" s="35" t="n">
        <v>7400</v>
      </c>
      <c r="G11" s="33" t="n"/>
      <c r="H11" s="35" t="n">
        <v>1240</v>
      </c>
      <c r="I11" s="35" t="n">
        <v>4960</v>
      </c>
      <c r="J11" s="36" t="inlineStr">
        <is>
          <t>NON CONFORME : capacité offerte (5000L) inférieure à la capacité demandée (10000L)</t>
        </is>
      </c>
      <c r="K11" s="35" t="n">
        <v>1910</v>
      </c>
      <c r="L11" s="35" t="n">
        <v>7640</v>
      </c>
      <c r="M11" s="33" t="n"/>
    </row>
    <row r="12" ht="24" customHeight="1" s="23">
      <c r="A12" s="31" t="inlineStr">
        <is>
          <t>Sulfate d'aluminium sac 25kg</t>
        </is>
      </c>
      <c r="B12" s="32" t="inlineStr">
        <is>
          <t>sac</t>
        </is>
      </c>
      <c r="C12" s="32" t="n">
        <v>300</v>
      </c>
      <c r="D12" s="38" t="n">
        <v>180</v>
      </c>
      <c r="E12" s="32" t="n">
        <v>22</v>
      </c>
      <c r="F12" s="32" t="n">
        <v>3960</v>
      </c>
      <c r="G12" s="33" t="n"/>
      <c r="H12" s="32" t="n">
        <v>21.5</v>
      </c>
      <c r="I12" s="32" t="n">
        <v>3870</v>
      </c>
      <c r="J12" s="33" t="n"/>
      <c r="K12" s="32" t="n">
        <v>23</v>
      </c>
      <c r="L12" s="32" t="n">
        <v>4140</v>
      </c>
      <c r="M12" s="33" t="n"/>
    </row>
    <row r="13" ht="30" customHeight="1" s="23">
      <c r="A13" s="39" t="inlineStr">
        <is>
          <t>Note d'analyse : Quantité IR (300 sacs) incohérente avec les 3 offres reçues, qui convergent toutes autour de 180 sacs. Quantité corrigée à 180 pour l'analyse — l'IR doit être corrigée en conséquence auprès du demandeur avant émission de la PO.</t>
        </is>
      </c>
    </row>
    <row r="14" ht="45.75" customHeight="1" s="23">
      <c r="A14" s="34" t="inlineStr">
        <is>
          <t>Chlore NaDCC granulé</t>
        </is>
      </c>
      <c r="B14" s="35" t="inlineStr">
        <is>
          <t>kg</t>
        </is>
      </c>
      <c r="C14" s="35" t="n">
        <v>150</v>
      </c>
      <c r="D14" s="35" t="n">
        <v>150</v>
      </c>
      <c r="E14" s="35" t="n">
        <v>14</v>
      </c>
      <c r="F14" s="37" t="n">
        <v>2260</v>
      </c>
      <c r="G14" s="36" t="inlineStr">
        <is>
          <t>Écart arithmétique : le fournisseur a inscrit un total de 2 260 sur sa cotation alors que 150 x 14 = 2 100. Figure recalculée (2 100) retenue ci-contre ; écart signalé au fournisseur pour clarification.</t>
        </is>
      </c>
      <c r="H14" s="35" t="n">
        <v>15</v>
      </c>
      <c r="I14" s="35" t="n">
        <v>2250</v>
      </c>
      <c r="J14" s="33" t="n"/>
      <c r="K14" s="35" t="n">
        <v>14.8</v>
      </c>
      <c r="L14" s="35" t="n">
        <v>2220</v>
      </c>
      <c r="M14" s="33" t="n"/>
    </row>
    <row r="15" ht="45.75" customHeight="1" s="23">
      <c r="A15" s="31" t="inlineStr">
        <is>
          <t>Kit de chloration portable</t>
        </is>
      </c>
      <c r="B15" s="32" t="inlineStr">
        <is>
          <t>unité</t>
        </is>
      </c>
      <c r="C15" s="32" t="n">
        <v>10</v>
      </c>
      <c r="D15" s="32" t="n">
        <v>10</v>
      </c>
      <c r="E15" s="32" t="n">
        <v>180</v>
      </c>
      <c r="F15" s="32" t="n">
        <v>1800</v>
      </c>
      <c r="G15" s="33" t="n"/>
      <c r="H15" s="32" t="n"/>
      <c r="I15" s="32" t="n"/>
      <c r="J15" s="36" t="inlineStr">
        <is>
          <t>Article listé mais non chiffré par le fournisseur</t>
        </is>
      </c>
      <c r="K15" s="32" t="n">
        <v>195</v>
      </c>
      <c r="L15" s="32" t="n">
        <v>1950</v>
      </c>
      <c r="M15" s="33" t="n"/>
    </row>
    <row r="17" ht="21.75" customHeight="1" s="23">
      <c r="A17" s="40" t="inlineStr">
        <is>
          <t>TOTAL OFFRE (somme des lignes chiffrées)</t>
        </is>
      </c>
      <c r="B17" s="28" t="n"/>
      <c r="C17" s="28" t="n"/>
      <c r="D17" s="28" t="n"/>
      <c r="E17" s="41" t="n"/>
      <c r="F17" s="42">
        <f>SUM(F8:F15)</f>
        <v/>
      </c>
      <c r="G17" s="41" t="n"/>
      <c r="H17" s="41" t="n"/>
      <c r="I17" s="42">
        <f>SUM(I8:I15)</f>
        <v/>
      </c>
      <c r="J17" s="41" t="n"/>
      <c r="K17" s="41" t="n"/>
      <c r="L17" s="42">
        <f>SUM(L8:L15)</f>
        <v/>
      </c>
      <c r="M17" s="41" t="n"/>
    </row>
    <row r="19" ht="25.5" customHeight="1" s="23">
      <c r="A19" s="43" t="inlineStr">
        <is>
          <t>Légende : les cellules surlignées en rouge signalent un point d'attention (prix anormal, non-conformité, article non chiffré ou écart arithmétique). Les cellules surlignées en jaune indiquent une quantité corrigée par rapport à l'IR d'origine.</t>
        </is>
      </c>
    </row>
    <row r="21" ht="19.5" customHeight="1" s="23">
      <c r="A21" s="44" t="inlineStr">
        <is>
          <t>CONCLUSION DU COMITÉ (à compléter par l'apprenant)</t>
        </is>
      </c>
    </row>
    <row r="22" ht="19.5" customHeight="1" s="23">
      <c r="A22" s="26" t="inlineStr">
        <is>
          <t>Fournisseur recommandé :</t>
        </is>
      </c>
      <c r="B22" s="27" t="inlineStr">
        <is>
          <t>[à compléter par l'apprenant]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</row>
    <row r="23" ht="19.5" customHeight="1" s="23">
      <c r="A23" s="26" t="inlineStr">
        <is>
          <t>Justification :</t>
        </is>
      </c>
      <c r="B23" s="45" t="inlineStr">
        <is>
          <t>[à compléter]</t>
        </is>
      </c>
    </row>
    <row r="24" ht="19.5" customHeight="1" s="23"/>
    <row r="25" ht="19.5" customHeight="1" s="23"/>
  </sheetData>
  <mergeCells count="17">
    <mergeCell ref="I4:M4"/>
    <mergeCell ref="A13:M13"/>
    <mergeCell ref="A19:M19"/>
    <mergeCell ref="A17:D17"/>
    <mergeCell ref="A1:M1"/>
    <mergeCell ref="K6:M6"/>
    <mergeCell ref="B4:D4"/>
    <mergeCell ref="B22:M22"/>
    <mergeCell ref="A21:M21"/>
    <mergeCell ref="B23:M25"/>
    <mergeCell ref="C6:C7"/>
    <mergeCell ref="A6:A7"/>
    <mergeCell ref="D6:D7"/>
    <mergeCell ref="B6:B7"/>
    <mergeCell ref="A2:M2"/>
    <mergeCell ref="E6:G6"/>
    <mergeCell ref="H6:J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2026-09-10T16:29:53Z</dcterms:created>
  <dcterms:modified xmlns:dcterms="http://purl.org/dc/terms/" xmlns:xsi="http://www.w3.org/2001/XMLSchema-instance" xsi:type="dcterms:W3CDTF">2026-09-10T16:53:45Z</dcterms:modified>
  <cp:revision>0</cp:revision>
</cp:coreProperties>
</file>