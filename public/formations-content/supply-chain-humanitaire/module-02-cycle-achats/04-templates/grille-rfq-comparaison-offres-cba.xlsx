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paraison CBA" sheetId="1" state="visible" r:id="rId3"/>
    <sheet name="Seuils &amp; Procédu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<sst xmlns="http://schemas.openxmlformats.org/spreadsheetml/2006/main" count="48" uniqueCount="48">
  <si>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GRILLE RFQ — ANALYSE COMPARATIVE DES OFFRES (CBA)</t>
  </si>
  <si>
    <t xml:space="preserve">Module 02 — Cycle Complet des Achats — De la RFQ à la PO — BK-BOOST Ltd.</t>
  </si>
  <si>
    <t xml:space="preserve">Pondération (modifiable) :</t>
  </si>
  <si>
    <t xml:space="preserve">Poids Prix (%)</t>
  </si>
  <si>
    <t xml:space="preserve">Poids Technique (%)</t>
  </si>
  <si>
    <t xml:space="preserve">La somme des deux poids doit toujours faire 100.</t>
  </si>
  <si>
    <t xml:space="preserve">Fournisseur</t>
  </si>
  <si>
    <t xml:space="preserve">Contact (nom + tél/email)</t>
  </si>
  <si>
    <t xml:space="preserve">Prix total (USD)</t>
  </si>
  <si>
    <t xml:space="preserve">Délai livraison (j)</t>
  </si>
  <si>
    <t xml:space="preserve">Score technique (/100)</t>
  </si>
  <si>
    <t xml:space="preserve">Score prix calculé</t>
  </si>
  <si>
    <t xml:space="preserve">Score pondéré total</t>
  </si>
  <si>
    <t xml:space="preserve">Rang</t>
  </si>
  <si>
    <t xml:space="preserve">Alerte collusion — à documenter</t>
  </si>
  <si>
    <t xml:space="preserve">Kivu Power Générateurs SARL</t>
  </si>
  <si>
    <t xml:space="preserve">J. Mumbere — +243 99 XXX 1122</t>
  </si>
  <si>
    <t xml:space="preserve">Prix identique à l'offre 2 (au dollar près) ET même contact que l'offre 2 → collusion probable, à écarter des deux offres</t>
  </si>
  <si>
    <t xml:space="preserve">Beni Energy Solutions</t>
  </si>
  <si>
    <t xml:space="preserve">+243 99 XXX 1122 (poste : J. Mumbere)</t>
  </si>
  <si>
    <t xml:space="preserve">Même numéro de contact que l'offre 1 sous une raison sociale différente → collusion probable, à écarter des deux offres</t>
  </si>
  <si>
    <t xml:space="preserve">Grands Lacs Équipements Industriels</t>
  </si>
  <si>
    <t xml:space="preserve">S. Kahindo — +243 97 XXX 4478</t>
  </si>
  <si>
    <t xml:space="preserve">Offre indépendante : contact distinct, garantie 2 ans, aucun indice de collusion relevé</t>
  </si>
  <si>
    <t xml:space="preserve">Repère collusion : un prix surligné en rouge est identique à au moins une autre offre du tableau. Vérifiez systématiquement aussi les coordonnées de contact (même numéro/email sous deux raisons sociales), le format du devis, et la date/heure de dépôt. Documentez toute suspicion dans la colonne « Alerte collusion » — ne jamais retenir automatiquement l'offre la moins chère sans cette vérification.</t>
  </si>
  <si>
    <t xml:space="preserve">SEUILS D'AUTORISATION &amp; PROCÉDURES</t>
  </si>
  <si>
    <t xml:space="preserve">Architecture générique à 4 paliers — seuils exacts à adapter à votre organisation et à votre bailleur.</t>
  </si>
  <si>
    <t xml:space="preserve">Palier</t>
  </si>
  <si>
    <t xml:space="preserve">Montant indicatif (USD)</t>
  </si>
  <si>
    <t xml:space="preserve">Procédure applicable</t>
  </si>
  <si>
    <t xml:space="preserve">Validation requise</t>
  </si>
  <si>
    <t xml:space="preserve">1 — Achat direct</t>
  </si>
  <si>
    <t xml:space="preserve">Jusqu'à ~1 000</t>
  </si>
  <si>
    <t xml:space="preserve">Comparaison informelle ; une seule cotation possible si justifiée par écrit</t>
  </si>
  <si>
    <t xml:space="preserve">Logisticien terrain</t>
  </si>
  <si>
    <t xml:space="preserve">2 — Consultation restreinte</t>
  </si>
  <si>
    <t xml:space="preserve">~1 000 à 25 000</t>
  </si>
  <si>
    <t xml:space="preserve">RFQ — minimum 3 devis écrits obligatoires</t>
  </si>
  <si>
    <t xml:space="preserve">Log Manager + validation budgétaire programme</t>
  </si>
  <si>
    <t xml:space="preserve">3 — Appel d'offres formel</t>
  </si>
  <si>
    <t xml:space="preserve">~25 000 à 100 000</t>
  </si>
  <si>
    <t xml:space="preserve">RFP ou ITB — critères figés avant ouverture des plis</t>
  </si>
  <si>
    <t xml:space="preserve">CPC (comité de validation des achats)</t>
  </si>
  <si>
    <t xml:space="preserve">4 — Achat stratégique</t>
  </si>
  <si>
    <t xml:space="preserve">Au-delà de ~100 000</t>
  </si>
  <si>
    <t xml:space="preserve">Appel d'offres international, souvent piloté par le siège</t>
  </si>
  <si>
    <t xml:space="preserve">CPC + validation siège / bailleur</t>
  </si>
  <si>
    <t xml:space="preserve">Rappel : ne jamais fractionner un achat pour rester artificiellement sous un seuil (« purchase splitting ») — c'est la fraude d'achat la plus fréquente et la plus systématiquement détectée en audit bailleur.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</si>
</sst>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&quot; $&quot;"/>
    <numFmt numFmtId="167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1E3A8A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1"/>
      <color rgb="FFB91C1C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i val="true"/>
      <sz val="8.5"/>
      <color rgb="FFB91C1C"/>
      <name val="Arial"/>
      <family val="0"/>
      <charset val="1"/>
    </font>
    <font>
      <b val="true"/>
      <i val="true"/>
      <sz val="9"/>
      <color rgb="FFB91C1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FFBEB"/>
        <bgColor rgb="FFFFFFFF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B91C1C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FFBEB"/>
      <rgbColor rgb="FFECFDF5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7" min="5" style="0" width="16"/>
    <col collapsed="false" customWidth="true" hidden="false" outlineLevel="0" max="8" min="8" style="0" width="8"/>
    <col collapsed="false" customWidth="true" hidden="false" outlineLevel="0" max="9" min="9" style="0" width="3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5" t="n">
        <v>60</v>
      </c>
      <c r="E4" s="4" t="s">
        <v>4</v>
      </c>
      <c r="F4" s="5" t="n">
        <v>40</v>
      </c>
      <c r="G4" s="6" t="s">
        <v>5</v>
      </c>
      <c r="H4" s="6"/>
      <c r="I4" s="6"/>
    </row>
    <row r="6" customFormat="false" ht="31.5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</row>
    <row r="7" customFormat="false" ht="32" hidden="false" customHeight="false" outlineLevel="0" collapsed="false">
      <c r="A7" s="8" t="s">
        <v>15</v>
      </c>
      <c r="B7" s="8" t="s">
        <v>16</v>
      </c>
      <c r="C7" s="9" t="n">
        <v>34850</v>
      </c>
      <c r="D7" s="10" t="n">
        <v>10</v>
      </c>
      <c r="E7" s="10" t="n">
        <v>78</v>
      </c>
      <c r="F7" s="11" t="n">
        <f aca="false">MIN($C$7:$C$9)/C7*100</f>
        <v>100</v>
      </c>
      <c r="G7" s="12" t="n">
        <f aca="false">F7*$D$4/100+E7*$F$4/100</f>
        <v>91.2</v>
      </c>
      <c r="H7" s="13" t="n">
        <f aca="false">RANK(G7,$G$7:$G$9)</f>
        <v>1</v>
      </c>
      <c r="I7" s="14" t="s">
        <v>17</v>
      </c>
    </row>
    <row r="8" customFormat="false" ht="32" hidden="false" customHeight="false" outlineLevel="0" collapsed="false">
      <c r="A8" s="15" t="s">
        <v>18</v>
      </c>
      <c r="B8" s="15" t="s">
        <v>19</v>
      </c>
      <c r="C8" s="16" t="n">
        <v>34850</v>
      </c>
      <c r="D8" s="17" t="n">
        <v>10</v>
      </c>
      <c r="E8" s="17" t="n">
        <v>78</v>
      </c>
      <c r="F8" s="18" t="n">
        <f aca="false">MIN($C$7:$C$9)/C8*100</f>
        <v>100</v>
      </c>
      <c r="G8" s="19" t="n">
        <f aca="false">F8*$D$4/100+E8*$F$4/100</f>
        <v>91.2</v>
      </c>
      <c r="H8" s="20" t="n">
        <f aca="false">RANK(G8,$G$7:$G$9)</f>
        <v>1</v>
      </c>
      <c r="I8" s="21" t="s">
        <v>20</v>
      </c>
    </row>
    <row r="9" customFormat="false" ht="22" hidden="false" customHeight="false" outlineLevel="0" collapsed="false">
      <c r="A9" s="8" t="s">
        <v>21</v>
      </c>
      <c r="B9" s="8" t="s">
        <v>22</v>
      </c>
      <c r="C9" s="9" t="n">
        <v>41200</v>
      </c>
      <c r="D9" s="10" t="n">
        <v>14</v>
      </c>
      <c r="E9" s="10" t="n">
        <v>85</v>
      </c>
      <c r="F9" s="11" t="n">
        <f aca="false">MIN($C$7:$C$9)/C9*100</f>
        <v>84.5873786407767</v>
      </c>
      <c r="G9" s="12" t="n">
        <f aca="false">F9*$D$4/100+E9*$F$4/100</f>
        <v>84.752427184466</v>
      </c>
      <c r="H9" s="13" t="n">
        <f aca="false">RANK(G9,$G$7:$G$9)</f>
        <v>3</v>
      </c>
      <c r="I9" s="14" t="s">
        <v>23</v>
      </c>
    </row>
    <row r="10" customFormat="false" ht="15" hidden="false" customHeight="false" outlineLevel="0" collapsed="false">
      <c r="A10" s="8"/>
      <c r="B10" s="8"/>
      <c r="C10" s="8"/>
      <c r="D10" s="8"/>
      <c r="E10" s="8"/>
      <c r="F10" s="11" t="str">
        <f aca="false">IF(C10="","",MIN($C$7:$C$13)/C10*100)</f>
        <v/>
      </c>
      <c r="G10" s="12" t="str">
        <f aca="false">IF(C10="","",F10*$D$4/100+E10*$F$4/100)</f>
        <v/>
      </c>
      <c r="H10" s="13" t="str">
        <f aca="false">IF(C10="","",RANK(G10,$G$7:$G$13))</f>
        <v/>
      </c>
      <c r="I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11" t="str">
        <f aca="false">IF(C11="","",MIN($C$7:$C$13)/C11*100)</f>
        <v/>
      </c>
      <c r="G11" s="12" t="str">
        <f aca="false">IF(C11="","",F11*$D$4/100+E11*$F$4/100)</f>
        <v/>
      </c>
      <c r="H11" s="13" t="str">
        <f aca="false">IF(C11="","",RANK(G11,$G$7:$G$13))</f>
        <v/>
      </c>
      <c r="I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11" t="str">
        <f aca="false">IF(C12="","",MIN($C$7:$C$13)/C12*100)</f>
        <v/>
      </c>
      <c r="G12" s="12" t="str">
        <f aca="false">IF(C12="","",F12*$D$4/100+E12*$F$4/100)</f>
        <v/>
      </c>
      <c r="H12" s="13" t="str">
        <f aca="false">IF(C12="","",RANK(G12,$G$7:$G$13))</f>
        <v/>
      </c>
      <c r="I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11" t="str">
        <f aca="false">IF(C13="","",MIN($C$7:$C$13)/C13*100)</f>
        <v/>
      </c>
      <c r="G13" s="12" t="str">
        <f aca="false">IF(C13="","",F13*$D$4/100+E13*$F$4/100)</f>
        <v/>
      </c>
      <c r="H13" s="13" t="str">
        <f aca="false">IF(C13="","",RANK(G13,$G$7:$G$13))</f>
        <v/>
      </c>
      <c r="I13" s="8"/>
    </row>
    <row r="15" customFormat="false" ht="45" hidden="false" customHeight="true" outlineLevel="0" collapsed="false">
      <c r="A15" s="22" t="s">
        <v>24</v>
      </c>
      <c r="B15" s="22"/>
      <c r="C15" s="22"/>
      <c r="D15" s="22"/>
      <c r="E15" s="22"/>
      <c r="F15" s="22"/>
      <c r="G15" s="22"/>
      <c r="H15" s="22"/>
      <c r="I15" s="22"/>
    </row>
  </sheetData>
  <mergeCells count="5">
    <mergeCell ref="A1:I1"/>
    <mergeCell ref="A2:I2"/>
    <mergeCell ref="A4:B4"/>
    <mergeCell ref="G4:I4"/>
    <mergeCell ref="A15:I15"/>
  </mergeCells>
  <conditionalFormatting sqref="C7:C13">
    <cfRule type="expression" priority="2" aboveAverage="0" equalAverage="0" bottom="0" percent="0" rank="0" text="" dxfId="0">
      <formula>AND(C7&lt;&gt;"",COUNTIF($C$7:$C$13,C7)&gt;1)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0"/>
  </cols>
  <sheetData>
    <row r="1" customFormat="false" ht="21.75" hidden="false" customHeight="true" outlineLevel="0" collapsed="false">
      <c r="A1" s="1" t="s">
        <v>25</v>
      </c>
      <c r="B1" s="1"/>
      <c r="C1" s="1"/>
      <c r="D1" s="1"/>
    </row>
    <row r="2" customFormat="false" ht="15" hidden="false" customHeight="false" outlineLevel="0" collapsed="false">
      <c r="A2" s="2" t="s">
        <v>26</v>
      </c>
      <c r="B2" s="2"/>
      <c r="C2" s="2"/>
      <c r="D2" s="2"/>
    </row>
    <row r="4" customFormat="false" ht="25.5" hidden="false" customHeight="true" outlineLevel="0" collapsed="false">
      <c r="A4" s="7" t="s">
        <v>27</v>
      </c>
      <c r="B4" s="7" t="s">
        <v>28</v>
      </c>
      <c r="C4" s="7" t="s">
        <v>29</v>
      </c>
      <c r="D4" s="7" t="s">
        <v>30</v>
      </c>
    </row>
    <row r="5" customFormat="false" ht="30" hidden="false" customHeight="true" outlineLevel="0" collapsed="false">
      <c r="A5" s="23" t="s">
        <v>31</v>
      </c>
      <c r="B5" s="10" t="s">
        <v>32</v>
      </c>
      <c r="C5" s="24" t="s">
        <v>33</v>
      </c>
      <c r="D5" s="24" t="s">
        <v>34</v>
      </c>
    </row>
    <row r="6" customFormat="false" ht="30" hidden="false" customHeight="true" outlineLevel="0" collapsed="false">
      <c r="A6" s="25" t="s">
        <v>35</v>
      </c>
      <c r="B6" s="17" t="s">
        <v>36</v>
      </c>
      <c r="C6" s="26" t="s">
        <v>37</v>
      </c>
      <c r="D6" s="26" t="s">
        <v>38</v>
      </c>
    </row>
    <row r="7" customFormat="false" ht="30" hidden="false" customHeight="true" outlineLevel="0" collapsed="false">
      <c r="A7" s="23" t="s">
        <v>39</v>
      </c>
      <c r="B7" s="10" t="s">
        <v>40</v>
      </c>
      <c r="C7" s="24" t="s">
        <v>41</v>
      </c>
      <c r="D7" s="24" t="s">
        <v>42</v>
      </c>
    </row>
    <row r="8" customFormat="false" ht="30" hidden="false" customHeight="true" outlineLevel="0" collapsed="false">
      <c r="A8" s="25" t="s">
        <v>43</v>
      </c>
      <c r="B8" s="17" t="s">
        <v>44</v>
      </c>
      <c r="C8" s="26" t="s">
        <v>45</v>
      </c>
      <c r="D8" s="26" t="s">
        <v>46</v>
      </c>
    </row>
    <row r="10" customFormat="false" ht="31.5" hidden="false" customHeight="true" outlineLevel="0" collapsed="false">
      <c r="A10" s="27" t="s">
        <v>47</v>
      </c>
      <c r="B10" s="27"/>
      <c r="C10" s="27"/>
      <c r="D10" s="27"/>
    </row>
  </sheetData>
  <mergeCells count="3">
    <mergeCell ref="A1:D1"/>
    <mergeCell ref="A2:D2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2026-08-31T20:54:52Z</dcterms:created>
  <dc:creator>openpyxl</dc:creator>
  <dc:description/>
  <dc:language>fr-FR</dc:language>
  <cp:lastModifiedBy/>
  <dcterms:modified xsi:type="dcterms:W3CDTF">2026-08-31T20:54:52Z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