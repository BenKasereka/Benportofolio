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-Qualification" sheetId="1" state="visible" r:id="rId3"/>
    <sheet name="2-Evaluation ponderee" sheetId="2" state="visible" r:id="rId4"/>
    <sheet name="3-Suivi ree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<sst xmlns="http://schemas.openxmlformats.org/spreadsheetml/2006/main" count="81" uniqueCount="66">
  <si>
    <t xml:space="preserve">FICHE DE QUALIFICATION FOURNISSEUR</t>
  </si>
  <si>
    <t xml:space="preserve">Module 03 – Gestion des Fournisseurs &amp; Conformité – BK-BOOST Ltd.</t>
  </si>
  <si>
    <t xml:space="preserve">À compléter avant toute première commande, et à chaque changement significatif chez le fournisseur (propriétaire, dirigeants, raison sociale).</t>
  </si>
  <si>
    <t xml:space="preserve">Pièce / étape de qualification requise</t>
  </si>
  <si>
    <t xml:space="preserve">Fourni (Oui / Non / Partiel)</t>
  </si>
  <si>
    <t xml:space="preserve">Date de vérification</t>
  </si>
  <si>
    <t xml:space="preserve">Référence / Commentaire</t>
  </si>
  <si>
    <t xml:space="preserve">Certificat d'enregistrement légal / immatriculation</t>
  </si>
  <si>
    <t xml:space="preserve">Oui</t>
  </si>
  <si>
    <t xml:space="preserve">2026-02-03</t>
  </si>
  <si>
    <t xml:space="preserve">Copie certifiée conforme au dossier</t>
  </si>
  <si>
    <t xml:space="preserve">Certificat fiscal à jour</t>
  </si>
  <si>
    <t xml:space="preserve">Valide jusqu'au 2026-12-31</t>
  </si>
  <si>
    <t xml:space="preserve">Coordonnées bancaires (RIB)</t>
  </si>
  <si>
    <t xml:space="preserve">Vérifiées auprès de la banque émettrice</t>
  </si>
  <si>
    <t xml:space="preserve">Référence client 1 (nom + contact)</t>
  </si>
  <si>
    <t xml:space="preserve">2026-02-04</t>
  </si>
  <si>
    <t xml:space="preserve">Référence client 2 (nom + contact)</t>
  </si>
  <si>
    <t xml:space="preserve">Partiel</t>
  </si>
  <si>
    <t xml:space="preserve">Contact obtenu, réponse en attente</t>
  </si>
  <si>
    <t xml:space="preserve">Preuve de capacité opérationnelle (visite site si applicable)</t>
  </si>
  <si>
    <t xml:space="preserve">2026-02-05</t>
  </si>
  <si>
    <t xml:space="preserve">Visite effectuée par le SCM</t>
  </si>
  <si>
    <t xml:space="preserve">Screening OpenSanctions.org (1er balayage)</t>
  </si>
  <si>
    <t xml:space="preserve">Aucun résultat / Résultat à vérifier (préciser)</t>
  </si>
  <si>
    <t xml:space="preserve">Confirmation liste primaire OFAC / UE / ONU (si résultat positif au balayage)</t>
  </si>
  <si>
    <t xml:space="preserve">Non</t>
  </si>
  <si>
    <t xml:space="preserve">Sans objet si balayage négatif</t>
  </si>
  <si>
    <t xml:space="preserve">Politique anti-corruption / engagement signé</t>
  </si>
  <si>
    <t xml:space="preserve">Synthèse automatique</t>
  </si>
  <si>
    <t xml:space="preserve">Pièces manquantes ou incomplètes (Non / Partiel)</t>
  </si>
  <si>
    <t xml:space="preserve">Statut du dossier (calcul automatique)</t>
  </si>
  <si>
    <t xml:space="preserve">Décision finale de qualification (Qualifié / Qualifié sous condition / Rejeté)</t>
  </si>
  <si>
    <t xml:space="preserve">Qualifié sous condition</t>
  </si>
  <si>
    <t xml:space="preserve">Justification écrite de la décision (obligatoire)</t>
  </si>
  <si>
    <t xml:space="preserve">Rédigé par (nom, fonction)</t>
  </si>
  <si>
    <t xml:space="preserve">Date</t>
  </si>
  <si>
    <t xml:space="preserve">SCORECARD PONDÉRÉ – ÉVALUATION FOURNISSEUR</t>
  </si>
  <si>
    <t xml:space="preserve">Module 03 – Gestion des Fournisseurs &amp; Conformité – BK-BOOST Ltd. – Score de 1 (insuffisant) à 5 (excellent) par critère.</t>
  </si>
  <si>
    <t xml:space="preserve">Fournisseur</t>
  </si>
  <si>
    <t xml:space="preserve">Période évaluée</t>
  </si>
  <si>
    <t xml:space="preserve">Fiabilité / délais</t>
  </si>
  <si>
    <t xml:space="preserve">Qualité</t>
  </si>
  <si>
    <t xml:space="preserve">Prix</t>
  </si>
  <si>
    <t xml:space="preserve">Conformité</t>
  </si>
  <si>
    <t xml:space="preserve">Réactivité</t>
  </si>
  <si>
    <t xml:space="preserve">Score pondéré /5</t>
  </si>
  <si>
    <t xml:space="preserve">Score %</t>
  </si>
  <si>
    <t xml:space="preserve">Alerte (seuil 3/5)</t>
  </si>
  <si>
    <t xml:space="preserve">Poids du critère</t>
  </si>
  <si>
    <t xml:space="preserve">(référence – ne pas modifier)</t>
  </si>
  <si>
    <t xml:space="preserve">Bulama General Trading</t>
  </si>
  <si>
    <t xml:space="preserve">T3 2026 (juil.-sept.)</t>
  </si>
  <si>
    <t xml:space="preserve">Delta Freight Services</t>
  </si>
  <si>
    <t xml:space="preserve">Seuil d'alerte fixé à 3,00/5 (60%). Un score sous ce seuil doit déclencher une action corrective documentée avant toute nouvelle commande.</t>
  </si>
  <si>
    <t xml:space="preserve">SUIVI DES RÉÉVALUATIONS PÉRIODIQUES</t>
  </si>
  <si>
    <t xml:space="preserve">Module 03 – Calculé automatiquement à partir des dates saisies – ne pas modifier les formules.</t>
  </si>
  <si>
    <t xml:space="preserve">Date dernière évaluation</t>
  </si>
  <si>
    <t xml:space="preserve">Score obtenu (/5)</t>
  </si>
  <si>
    <t xml:space="preserve">Fréquence réévaluation (mois)</t>
  </si>
  <si>
    <t xml:space="preserve">Prochaine échéance</t>
  </si>
  <si>
    <t xml:space="preserve">Statut</t>
  </si>
  <si>
    <t xml:space="preserve">2026-09-15</t>
  </si>
  <si>
    <t xml:space="preserve">2026-03-01</t>
  </si>
  <si>
    <t xml:space="preserve">Kivu Med Supplies</t>
  </si>
  <si>
    <t xml:space="preserve">2025-11-20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</si>
</sst>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 %"/>
    <numFmt numFmtId="166" formatCode="0.00"/>
    <numFmt numFmtId="167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color rgb="FFB4530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65F46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B91C1C"/>
      </font>
      <fill>
        <patternFill>
          <bgColor rgb="FFFEE2E2"/>
        </patternFill>
      </fill>
    </dxf>
    <dxf>
      <font>
        <b val="1"/>
        <color rgb="FF065F46"/>
      </font>
      <fill>
        <patternFill>
          <bgColor rgb="FFD1FA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s">
        <v>9</v>
      </c>
      <c r="D5" s="5" t="s">
        <v>10</v>
      </c>
    </row>
    <row r="6" customFormat="false" ht="15" hidden="false" customHeight="false" outlineLevel="0" collapsed="false">
      <c r="A6" s="6" t="s">
        <v>11</v>
      </c>
      <c r="B6" s="6" t="s">
        <v>8</v>
      </c>
      <c r="C6" s="6" t="s">
        <v>9</v>
      </c>
      <c r="D6" s="6" t="s">
        <v>12</v>
      </c>
    </row>
    <row r="7" customFormat="false" ht="15" hidden="false" customHeight="false" outlineLevel="0" collapsed="false">
      <c r="A7" s="5" t="s">
        <v>13</v>
      </c>
      <c r="B7" s="5" t="s">
        <v>8</v>
      </c>
      <c r="C7" s="5" t="s">
        <v>9</v>
      </c>
      <c r="D7" s="5" t="s">
        <v>14</v>
      </c>
    </row>
    <row r="8" customFormat="false" ht="15" hidden="false" customHeight="false" outlineLevel="0" collapsed="false">
      <c r="A8" s="6" t="s">
        <v>15</v>
      </c>
      <c r="B8" s="6" t="s">
        <v>8</v>
      </c>
      <c r="C8" s="6" t="s">
        <v>16</v>
      </c>
      <c r="D8" s="6"/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16</v>
      </c>
      <c r="D9" s="5" t="s">
        <v>19</v>
      </c>
    </row>
    <row r="10" customFormat="false" ht="24" hidden="false" customHeight="false" outlineLevel="0" collapsed="false">
      <c r="A10" s="6" t="s">
        <v>20</v>
      </c>
      <c r="B10" s="6" t="s">
        <v>8</v>
      </c>
      <c r="C10" s="6" t="s">
        <v>21</v>
      </c>
      <c r="D10" s="6" t="s">
        <v>22</v>
      </c>
    </row>
    <row r="11" customFormat="false" ht="24" hidden="false" customHeight="false" outlineLevel="0" collapsed="false">
      <c r="A11" s="5" t="s">
        <v>23</v>
      </c>
      <c r="B11" s="5" t="s">
        <v>8</v>
      </c>
      <c r="C11" s="5" t="s">
        <v>21</v>
      </c>
      <c r="D11" s="5" t="s">
        <v>24</v>
      </c>
    </row>
    <row r="12" customFormat="false" ht="24" hidden="false" customHeight="false" outlineLevel="0" collapsed="false">
      <c r="A12" s="6" t="s">
        <v>25</v>
      </c>
      <c r="B12" s="6" t="s">
        <v>26</v>
      </c>
      <c r="C12" s="6"/>
      <c r="D12" s="6" t="s">
        <v>27</v>
      </c>
    </row>
    <row r="13" customFormat="false" ht="15" hidden="false" customHeight="false" outlineLevel="0" collapsed="false">
      <c r="A13" s="5" t="s">
        <v>28</v>
      </c>
      <c r="B13" s="5" t="s">
        <v>8</v>
      </c>
      <c r="C13" s="5" t="s">
        <v>21</v>
      </c>
      <c r="D13" s="5"/>
    </row>
    <row r="15" customFormat="false" ht="15" hidden="false" customHeight="false" outlineLevel="0" collapsed="false">
      <c r="A15" s="7" t="s">
        <v>29</v>
      </c>
      <c r="B15" s="7"/>
      <c r="C15" s="7"/>
      <c r="D15" s="7"/>
    </row>
    <row r="16" customFormat="false" ht="15" hidden="false" customHeight="false" outlineLevel="0" collapsed="false">
      <c r="A16" s="8" t="s">
        <v>30</v>
      </c>
      <c r="B16" s="9" t="n">
        <f aca="false">COUNTIF(B5:B13,"Non")+COUNTIF(B5:B13,"Partiel")</f>
        <v>2</v>
      </c>
    </row>
    <row r="17" customFormat="false" ht="15" hidden="false" customHeight="false" outlineLevel="0" collapsed="false">
      <c r="A17" s="8" t="s">
        <v>31</v>
      </c>
      <c r="B17" s="9" t="str">
        <f aca="false">IF(B16=0,"Dossier complet","Dossier incomplet – "&amp;B16&amp;" pièce(s) à régulariser")</f>
        <v>Dossier incomplet – 2 pièce(s) à régulariser</v>
      </c>
    </row>
    <row r="19" customFormat="false" ht="15" hidden="false" customHeight="false" outlineLevel="0" collapsed="false">
      <c r="A19" s="10" t="s">
        <v>32</v>
      </c>
      <c r="B19" s="10"/>
      <c r="C19" s="11" t="s">
        <v>33</v>
      </c>
      <c r="D19" s="11"/>
    </row>
    <row r="20" customFormat="false" ht="15" hidden="false" customHeight="false" outlineLevel="0" collapsed="false">
      <c r="A20" s="3" t="s">
        <v>34</v>
      </c>
      <c r="B20" s="3"/>
      <c r="C20" s="3"/>
      <c r="D20" s="3"/>
    </row>
    <row r="21" customFormat="false" ht="15" hidden="false" customHeight="false" outlineLevel="0" collapsed="false">
      <c r="A21" s="12"/>
      <c r="B21" s="12"/>
      <c r="C21" s="12"/>
      <c r="D21" s="12"/>
    </row>
    <row r="22" customFormat="false" ht="15" hidden="false" customHeight="false" outlineLevel="0" collapsed="false">
      <c r="A22" s="12"/>
      <c r="B22" s="12"/>
      <c r="C22" s="12"/>
      <c r="D22" s="12"/>
    </row>
    <row r="23" customFormat="false" ht="15" hidden="false" customHeight="false" outlineLevel="0" collapsed="false">
      <c r="A23" s="12"/>
      <c r="B23" s="12"/>
      <c r="C23" s="12"/>
      <c r="D23" s="12"/>
    </row>
    <row r="25" customFormat="false" ht="15" hidden="false" customHeight="false" outlineLevel="0" collapsed="false">
      <c r="A25" s="13" t="s">
        <v>35</v>
      </c>
      <c r="C25" s="13" t="s">
        <v>36</v>
      </c>
    </row>
  </sheetData>
  <mergeCells count="8">
    <mergeCell ref="A1:D1"/>
    <mergeCell ref="A2:D2"/>
    <mergeCell ref="A3:D3"/>
    <mergeCell ref="A15:D15"/>
    <mergeCell ref="A19:B19"/>
    <mergeCell ref="C19:D19"/>
    <mergeCell ref="A20:D20"/>
    <mergeCell ref="A21:D23"/>
  </mergeCells>
  <conditionalFormatting sqref="B16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</row>
    <row r="5" customFormat="false" ht="13.5" hidden="false" customHeight="true" outlineLevel="0" collapsed="false">
      <c r="A5" s="14" t="s">
        <v>49</v>
      </c>
      <c r="B5" s="14" t="s">
        <v>50</v>
      </c>
      <c r="C5" s="15" t="n">
        <v>0.3</v>
      </c>
      <c r="D5" s="15" t="n">
        <v>0.25</v>
      </c>
      <c r="E5" s="15" t="n">
        <v>0.2</v>
      </c>
      <c r="F5" s="15" t="n">
        <v>0.15</v>
      </c>
      <c r="G5" s="15" t="n">
        <v>0.1</v>
      </c>
      <c r="H5" s="12"/>
      <c r="I5" s="12"/>
      <c r="J5" s="12"/>
    </row>
    <row r="6" customFormat="false" ht="15" hidden="false" customHeight="false" outlineLevel="0" collapsed="false">
      <c r="A6" s="5" t="s">
        <v>51</v>
      </c>
      <c r="B6" s="5" t="s">
        <v>52</v>
      </c>
      <c r="C6" s="16" t="n">
        <v>5</v>
      </c>
      <c r="D6" s="16" t="n">
        <v>4</v>
      </c>
      <c r="E6" s="16" t="n">
        <v>4</v>
      </c>
      <c r="F6" s="16" t="n">
        <v>5</v>
      </c>
      <c r="G6" s="16" t="n">
        <v>4</v>
      </c>
      <c r="H6" s="17" t="n">
        <f aca="false">SUMPRODUCT($C$5:$G$5,C6:G6)</f>
        <v>4.45</v>
      </c>
      <c r="I6" s="18" t="n">
        <f aca="false">H6/5</f>
        <v>0.89</v>
      </c>
      <c r="J6" s="19" t="str">
        <f aca="false">IF(H6&lt;3,"⚠ SOUS SEUIL","OK")</f>
        <v>OK</v>
      </c>
    </row>
    <row r="7" customFormat="false" ht="15" hidden="false" customHeight="false" outlineLevel="0" collapsed="false">
      <c r="A7" s="6" t="s">
        <v>53</v>
      </c>
      <c r="B7" s="6" t="s">
        <v>52</v>
      </c>
      <c r="C7" s="20" t="n">
        <v>3</v>
      </c>
      <c r="D7" s="20" t="n">
        <v>3</v>
      </c>
      <c r="E7" s="20" t="n">
        <v>4</v>
      </c>
      <c r="F7" s="20" t="n">
        <v>2</v>
      </c>
      <c r="G7" s="20" t="n">
        <v>3</v>
      </c>
      <c r="H7" s="21" t="n">
        <f aca="false">SUMPRODUCT($C$5:$G$5,C7:G7)</f>
        <v>3.05</v>
      </c>
      <c r="I7" s="22" t="n">
        <f aca="false">H7/5</f>
        <v>0.61</v>
      </c>
      <c r="J7" s="23" t="str">
        <f aca="false">IF(H7&lt;3,"⚠ SOUS SEUIL","OK")</f>
        <v>OK</v>
      </c>
    </row>
    <row r="8" customFormat="false" ht="15" hidden="false" customHeight="false" outlineLevel="0" collapsed="false">
      <c r="A8" s="5"/>
      <c r="B8" s="5"/>
      <c r="C8" s="16"/>
      <c r="D8" s="16"/>
      <c r="E8" s="16"/>
      <c r="F8" s="16"/>
      <c r="G8" s="16"/>
      <c r="H8" s="24" t="str">
        <f aca="false">IF(COUNT(C8:G8)=5,SUMPRODUCT($C$5:$G$5,C8:G8),"")</f>
        <v/>
      </c>
      <c r="I8" s="18" t="str">
        <f aca="false">IF(H8="","",H8/5)</f>
        <v/>
      </c>
      <c r="J8" s="19" t="str">
        <f aca="false">IF(H8="","",IF(H8&lt;3,"⚠ SOUS SEUIL","OK"))</f>
        <v/>
      </c>
    </row>
    <row r="9" customFormat="false" ht="15" hidden="false" customHeight="false" outlineLevel="0" collapsed="false">
      <c r="A9" s="6"/>
      <c r="B9" s="6"/>
      <c r="C9" s="20"/>
      <c r="D9" s="20"/>
      <c r="E9" s="20"/>
      <c r="F9" s="20"/>
      <c r="G9" s="20"/>
      <c r="H9" s="25" t="str">
        <f aca="false">IF(COUNT(C9:G9)=5,SUMPRODUCT($C$5:$G$5,C9:G9),"")</f>
        <v/>
      </c>
      <c r="I9" s="22" t="str">
        <f aca="false">IF(H9="","",H9/5)</f>
        <v/>
      </c>
      <c r="J9" s="23" t="str">
        <f aca="false">IF(H9="","",IF(H9&lt;3,"⚠ SOUS SEUIL","OK"))</f>
        <v/>
      </c>
    </row>
    <row r="10" customFormat="false" ht="15" hidden="false" customHeight="false" outlineLevel="0" collapsed="false">
      <c r="A10" s="5"/>
      <c r="B10" s="5"/>
      <c r="C10" s="16"/>
      <c r="D10" s="16"/>
      <c r="E10" s="16"/>
      <c r="F10" s="16"/>
      <c r="G10" s="16"/>
      <c r="H10" s="24" t="str">
        <f aca="false">IF(COUNT(C10:G10)=5,SUMPRODUCT($C$5:$G$5,C10:G10),"")</f>
        <v/>
      </c>
      <c r="I10" s="18" t="str">
        <f aca="false">IF(H10="","",H10/5)</f>
        <v/>
      </c>
      <c r="J10" s="19" t="str">
        <f aca="false">IF(H10="","",IF(H10&lt;3,"⚠ SOUS SEUIL","OK"))</f>
        <v/>
      </c>
    </row>
    <row r="12" customFormat="false" ht="15" hidden="false" customHeight="false" outlineLevel="0" collapsed="false">
      <c r="A12" s="3" t="s">
        <v>54</v>
      </c>
      <c r="B12" s="3"/>
      <c r="C12" s="3"/>
      <c r="D12" s="3"/>
      <c r="E12" s="3"/>
      <c r="F12" s="3"/>
      <c r="G12" s="3"/>
      <c r="H12" s="3"/>
      <c r="I12" s="3"/>
      <c r="J12" s="3"/>
    </row>
  </sheetData>
  <mergeCells count="3">
    <mergeCell ref="A1:J1"/>
    <mergeCell ref="A2:J2"/>
    <mergeCell ref="A12:J12"/>
  </mergeCells>
  <conditionalFormatting sqref="J6:J10">
    <cfRule type="cellIs" priority="2" operator="equal" aboveAverage="0" equalAverage="0" bottom="0" percent="0" rank="0" text="" dxfId="0">
      <formula>"⚠ SOUS SEUIL"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56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4" t="s">
        <v>39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</row>
    <row r="5" customFormat="false" ht="15" hidden="false" customHeight="false" outlineLevel="0" collapsed="false">
      <c r="A5" s="5" t="s">
        <v>51</v>
      </c>
      <c r="B5" s="16" t="s">
        <v>62</v>
      </c>
      <c r="C5" s="24" t="n">
        <v>4.35</v>
      </c>
      <c r="D5" s="16" t="n">
        <v>12</v>
      </c>
      <c r="E5" s="26" t="n">
        <f aca="false">EDATE(B5,D5)</f>
        <v>46645</v>
      </c>
      <c r="F5" s="19" t="str">
        <f aca="true">IF(TODAY()&gt;E5,"⚠ EN RETARD","À jour")</f>
        <v>À jour</v>
      </c>
    </row>
    <row r="6" customFormat="false" ht="15" hidden="false" customHeight="false" outlineLevel="0" collapsed="false">
      <c r="A6" s="6" t="s">
        <v>53</v>
      </c>
      <c r="B6" s="20" t="s">
        <v>63</v>
      </c>
      <c r="C6" s="25" t="n">
        <v>2.85</v>
      </c>
      <c r="D6" s="20" t="n">
        <v>6</v>
      </c>
      <c r="E6" s="27" t="n">
        <f aca="false">EDATE(B6,D6)</f>
        <v>46266</v>
      </c>
      <c r="F6" s="23" t="str">
        <f aca="true">IF(TODAY()&gt;E6,"⚠ EN RETARD","À jour")</f>
        <v>À jour</v>
      </c>
    </row>
    <row r="7" customFormat="false" ht="15" hidden="false" customHeight="false" outlineLevel="0" collapsed="false">
      <c r="A7" s="5" t="s">
        <v>64</v>
      </c>
      <c r="B7" s="16" t="s">
        <v>65</v>
      </c>
      <c r="C7" s="24" t="n">
        <v>4.6</v>
      </c>
      <c r="D7" s="16" t="n">
        <v>12</v>
      </c>
      <c r="E7" s="26" t="n">
        <f aca="false">EDATE(B7,D7)</f>
        <v>46346</v>
      </c>
      <c r="F7" s="19" t="str">
        <f aca="true">IF(TODAY()&gt;E7,"⚠ EN RETARD","À jour")</f>
        <v>À jour</v>
      </c>
    </row>
    <row r="8" customFormat="false" ht="15" hidden="false" customHeight="false" outlineLevel="0" collapsed="false">
      <c r="A8" s="6"/>
      <c r="B8" s="20"/>
      <c r="C8" s="20"/>
      <c r="D8" s="20"/>
      <c r="E8" s="27" t="str">
        <f aca="false">IF(OR(B8="",D8=""),"",EDATE(B8,D8))</f>
        <v/>
      </c>
      <c r="F8" s="23" t="str">
        <f aca="true">IF(E8="","",IF(TODAY()&gt;E8,"⚠ EN RETARD","À jour"))</f>
        <v/>
      </c>
    </row>
    <row r="9" customFormat="false" ht="15" hidden="false" customHeight="false" outlineLevel="0" collapsed="false">
      <c r="A9" s="5"/>
      <c r="B9" s="16"/>
      <c r="C9" s="16"/>
      <c r="D9" s="16"/>
      <c r="E9" s="26" t="str">
        <f aca="false">IF(OR(B9="",D9=""),"",EDATE(B9,D9))</f>
        <v/>
      </c>
      <c r="F9" s="19" t="str">
        <f aca="true">IF(E9="","",IF(TODAY()&gt;E9,"⚠ EN RETARD","À jour"))</f>
        <v/>
      </c>
    </row>
    <row r="10" customFormat="false" ht="15" hidden="false" customHeight="false" outlineLevel="0" collapsed="false">
      <c r="A10" s="6"/>
      <c r="B10" s="20"/>
      <c r="C10" s="20"/>
      <c r="D10" s="20"/>
      <c r="E10" s="27" t="str">
        <f aca="false">IF(OR(B10="",D10=""),"",EDATE(B10,D10))</f>
        <v/>
      </c>
      <c r="F10" s="23" t="str">
        <f aca="true">IF(E10="","",IF(TODAY()&gt;E10,"⚠ EN RETARD","À jour"))</f>
        <v/>
      </c>
    </row>
    <row r="11" customFormat="false" ht="15" hidden="false" customHeight="false" outlineLevel="0" collapsed="false">
      <c r="A11" s="5"/>
      <c r="B11" s="16"/>
      <c r="C11" s="16"/>
      <c r="D11" s="16"/>
      <c r="E11" s="26" t="str">
        <f aca="false">IF(OR(B11="",D11=""),"",EDATE(B11,D11))</f>
        <v/>
      </c>
      <c r="F11" s="19" t="str">
        <f aca="true">IF(E11="","",IF(TODAY()&gt;E11,"⚠ EN RETARD","À jour"))</f>
        <v/>
      </c>
    </row>
  </sheetData>
  <mergeCells count="2">
    <mergeCell ref="A1:F1"/>
    <mergeCell ref="A2:F2"/>
  </mergeCells>
  <conditionalFormatting sqref="F5:F11">
    <cfRule type="cellIs" priority="2" operator="equal" aboveAverage="0" equalAverage="0" bottom="0" percent="0" rank="0" text="" dxfId="0">
      <formula>"⚠ EN RETARD"</formula>
    </cfRule>
    <cfRule type="cellIs" priority="3" operator="equal" aboveAverage="0" equalAverage="0" bottom="0" percent="0" rank="0" text="" dxfId="1">
      <formula>"À jour"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2026-08-31T20:55:50Z</dcterms:created>
  <dc:creator>openpyxl</dc:creator>
  <dc:description/>
  <dc:language>fr-FR</dc:language>
  <cp:lastModifiedBy/>
  <dcterms:modified xsi:type="dcterms:W3CDTF">2026-08-31T20:55:50Z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