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eption-CQ" sheetId="1" state="visible" r:id="rId3"/>
    <sheet name="Synthese-Ecar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<sst xmlns="http://schemas.openxmlformats.org/spreadsheetml/2006/main" count="36" uniqueCount="34">
  <si>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BON DE RÉCEPTION &amp; CONTRÔLE QUALITÉ</t>
  </si>
  <si>
    <t xml:space="preserve">Module 04 — Gestion des Stocks &amp; Entrepôts — BK-BOOST Ltd. — Ne signez aucun bon de livraison transporteur avant d'avoir complété ce document. Seuil de tolérance d'écart : 2 % de la quantité attendue (au-delà, la ligne est signalée « Écart significatif »).</t>
  </si>
  <si>
    <t xml:space="preserve">PO n° : ________________</t>
  </si>
  <si>
    <t xml:space="preserve">Fournisseur : ________________</t>
  </si>
  <si>
    <t xml:space="preserve">Date de réception : ________________</t>
  </si>
  <si>
    <t xml:space="preserve">Reçu par : ________________</t>
  </si>
  <si>
    <t xml:space="preserve">Réf. PO</t>
  </si>
  <si>
    <t xml:space="preserve">Article</t>
  </si>
  <si>
    <t xml:space="preserve">N° de lot</t>
  </si>
  <si>
    <t xml:space="preserve">Qté attendue (PO)</t>
  </si>
  <si>
    <t xml:space="preserve">Qté reçue</t>
  </si>
  <si>
    <t xml:space="preserve">Écart</t>
  </si>
  <si>
    <t xml:space="preserve">Résultat contrôle qualité</t>
  </si>
  <si>
    <t xml:space="preserve">Motif / observation</t>
  </si>
  <si>
    <t xml:space="preserve">Décision</t>
  </si>
  <si>
    <t xml:space="preserve">Statut</t>
  </si>
  <si>
    <t xml:space="preserve">HTI-2026-0311</t>
  </si>
  <si>
    <t xml:space="preserve">Suppléments nutritionnels RUTF (carton de 150 sachets)</t>
  </si>
  <si>
    <t xml:space="preserve">N2026-118</t>
  </si>
  <si>
    <t xml:space="preserve">Conforme</t>
  </si>
  <si>
    <t xml:space="preserve">Emballages intacts, étiquetage conforme, péremption 7 mois.</t>
  </si>
  <si>
    <t xml:space="preserve">N2026-121</t>
  </si>
  <si>
    <t xml:space="preserve">Non conforme (12 cartons endommagés)</t>
  </si>
  <si>
    <t xml:space="preserve">12 cartons écrasés/humides, décoloration visible ; 18 cartons manquants au comptage.</t>
  </si>
  <si>
    <t xml:space="preserve">Décision : Accepté intégralement / Accepté partiellement (préciser quantité et motif) / Rejeté totalement. Toute décision de rejet doit être communiquée par écrit au fournisseur — voir Module 04, Étape 8.</t>
  </si>
  <si>
    <t xml:space="preserve">SYNTHÈSE DES ÉCARTS DE RÉCEPTION</t>
  </si>
  <si>
    <t xml:space="preserve">Calculée automatiquement à partir de l'onglet Reception-CQ — ne pas modifier les formules.</t>
  </si>
  <si>
    <t xml:space="preserve">Indicateur</t>
  </si>
  <si>
    <t xml:space="preserve">Valeur</t>
  </si>
  <si>
    <t xml:space="preserve">Nombre de lignes contrôlées</t>
  </si>
  <si>
    <t xml:space="preserve">Lignes conformes</t>
  </si>
  <si>
    <t xml:space="preserve">Lignes à vérifier</t>
  </si>
  <si>
    <t xml:space="preserve">Lignes en écart significatif</t>
  </si>
  <si>
    <t xml:space="preserve">Écart total (quantité, toutes lignes)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</si>
</sst>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B91C1C"/>
      </font>
      <fill>
        <patternFill>
          <bgColor rgb="FFFEE2E2"/>
        </patternFill>
      </fill>
    </dxf>
    <dxf>
      <font>
        <b val="1"/>
        <color rgb="FFB45309"/>
      </font>
      <fill>
        <patternFill>
          <bgColor rgb="FFFEF3C7"/>
        </patternFill>
      </fill>
    </dxf>
    <dxf>
      <font>
        <b val="1"/>
        <color rgb="FF047857"/>
      </font>
      <fill>
        <patternFill>
          <bgColor rgb="FFECFD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>
      <c r="A3" s="3" t="s">
        <v>2</v>
      </c>
      <c r="B3" s="3"/>
      <c r="C3" s="3"/>
      <c r="D3" s="3" t="s">
        <v>3</v>
      </c>
      <c r="E3" s="3"/>
      <c r="F3" s="3"/>
      <c r="G3" s="3" t="s">
        <v>4</v>
      </c>
      <c r="H3" s="3"/>
      <c r="I3" s="3" t="s">
        <v>5</v>
      </c>
      <c r="J3" s="3"/>
    </row>
    <row r="4" customFormat="false" ht="33.75" hidden="false" customHeight="true" outlineLevel="0" collapsed="false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</row>
    <row r="5" customFormat="false" ht="30" hidden="false" customHeight="true" outlineLevel="0" collapsed="false">
      <c r="A5" s="5" t="s">
        <v>16</v>
      </c>
      <c r="B5" s="5" t="s">
        <v>17</v>
      </c>
      <c r="C5" s="5" t="s">
        <v>18</v>
      </c>
      <c r="D5" s="6" t="n">
        <v>450</v>
      </c>
      <c r="E5" s="6" t="n">
        <v>450</v>
      </c>
      <c r="F5" s="6" t="n">
        <f aca="false">IF(OR(D5="",E5=""),"",E5-D5)</f>
        <v>0</v>
      </c>
      <c r="G5" s="5" t="s">
        <v>19</v>
      </c>
      <c r="H5" s="5" t="s">
        <v>20</v>
      </c>
      <c r="I5" s="5"/>
      <c r="J5" s="6" t="str">
        <f aca="false">IF(OR(D5="",E5=""),"",IF(D5=0,"",IF(ABS(F5)/D5&gt;0.02,"ÉCART SIGNIFICATIF",IF(F5=0,"CONFORME","À VÉRIFIER"))))</f>
        <v>CONFORME</v>
      </c>
    </row>
    <row r="6" customFormat="false" ht="30" hidden="false" customHeight="true" outlineLevel="0" collapsed="false">
      <c r="A6" s="7" t="s">
        <v>16</v>
      </c>
      <c r="B6" s="7" t="s">
        <v>17</v>
      </c>
      <c r="C6" s="7" t="s">
        <v>21</v>
      </c>
      <c r="D6" s="8" t="n">
        <v>150</v>
      </c>
      <c r="E6" s="8" t="n">
        <v>130</v>
      </c>
      <c r="F6" s="8" t="n">
        <f aca="false">IF(OR(D6="",E6=""),"",E6-D6)</f>
        <v>-20</v>
      </c>
      <c r="G6" s="7" t="s">
        <v>22</v>
      </c>
      <c r="H6" s="7" t="s">
        <v>23</v>
      </c>
      <c r="I6" s="7"/>
      <c r="J6" s="8" t="str">
        <f aca="false">IF(OR(D6="",E6=""),"",IF(D6=0,"",IF(ABS(F6)/D6&gt;0.02,"ÉCART SIGNIFICATIF",IF(F6=0,"CONFORME","À VÉRIFIER"))))</f>
        <v>ÉCART SIGNIFICATIF</v>
      </c>
    </row>
    <row r="7" customFormat="false" ht="30" hidden="false" customHeight="true" outlineLevel="0" collapsed="false">
      <c r="A7" s="5"/>
      <c r="B7" s="5"/>
      <c r="C7" s="5"/>
      <c r="D7" s="6"/>
      <c r="E7" s="6"/>
      <c r="F7" s="6" t="str">
        <f aca="false">IF(OR(D7="",E7=""),"",E7-D7)</f>
        <v/>
      </c>
      <c r="G7" s="5"/>
      <c r="H7" s="5"/>
      <c r="I7" s="5"/>
      <c r="J7" s="6" t="str">
        <f aca="false">IF(OR(D7="",E7=""),"",IF(D7=0,"",IF(ABS(F7)/D7&gt;0.02,"ÉCART SIGNIFICATIF",IF(F7=0,"CONFORME","À VÉRIFIER"))))</f>
        <v/>
      </c>
    </row>
    <row r="8" customFormat="false" ht="30" hidden="false" customHeight="true" outlineLevel="0" collapsed="false">
      <c r="A8" s="7"/>
      <c r="B8" s="7"/>
      <c r="C8" s="7"/>
      <c r="D8" s="8"/>
      <c r="E8" s="8"/>
      <c r="F8" s="8" t="str">
        <f aca="false">IF(OR(D8="",E8=""),"",E8-D8)</f>
        <v/>
      </c>
      <c r="G8" s="7"/>
      <c r="H8" s="7"/>
      <c r="I8" s="7"/>
      <c r="J8" s="8" t="str">
        <f aca="false">IF(OR(D8="",E8=""),"",IF(D8=0,"",IF(ABS(F8)/D8&gt;0.02,"ÉCART SIGNIFICATIF",IF(F8=0,"CONFORME","À VÉRIFIER"))))</f>
        <v/>
      </c>
    </row>
    <row r="9" customFormat="false" ht="30" hidden="false" customHeight="true" outlineLevel="0" collapsed="false">
      <c r="A9" s="5"/>
      <c r="B9" s="5"/>
      <c r="C9" s="5"/>
      <c r="D9" s="6"/>
      <c r="E9" s="6"/>
      <c r="F9" s="6" t="str">
        <f aca="false">IF(OR(D9="",E9=""),"",E9-D9)</f>
        <v/>
      </c>
      <c r="G9" s="5"/>
      <c r="H9" s="5"/>
      <c r="I9" s="5"/>
      <c r="J9" s="6" t="str">
        <f aca="false">IF(OR(D9="",E9=""),"",IF(D9=0,"",IF(ABS(F9)/D9&gt;0.02,"ÉCART SIGNIFICATIF",IF(F9=0,"CONFORME","À VÉRIFIER"))))</f>
        <v/>
      </c>
    </row>
    <row r="10" customFormat="false" ht="30" hidden="false" customHeight="true" outlineLevel="0" collapsed="false">
      <c r="A10" s="7"/>
      <c r="B10" s="7"/>
      <c r="C10" s="7"/>
      <c r="D10" s="8"/>
      <c r="E10" s="8"/>
      <c r="F10" s="8" t="str">
        <f aca="false">IF(OR(D10="",E10=""),"",E10-D10)</f>
        <v/>
      </c>
      <c r="G10" s="7"/>
      <c r="H10" s="7"/>
      <c r="I10" s="7"/>
      <c r="J10" s="8" t="str">
        <f aca="false">IF(OR(D10="",E10=""),"",IF(D10=0,"",IF(ABS(F10)/D10&gt;0.02,"ÉCART SIGNIFICATIF",IF(F10=0,"CONFORME","À VÉRIFIER"))))</f>
        <v/>
      </c>
    </row>
    <row r="11" customFormat="false" ht="30" hidden="false" customHeight="true" outlineLevel="0" collapsed="false">
      <c r="A11" s="5"/>
      <c r="B11" s="5"/>
      <c r="C11" s="5"/>
      <c r="D11" s="6"/>
      <c r="E11" s="6"/>
      <c r="F11" s="6" t="str">
        <f aca="false">IF(OR(D11="",E11=""),"",E11-D11)</f>
        <v/>
      </c>
      <c r="G11" s="5"/>
      <c r="H11" s="5"/>
      <c r="I11" s="5"/>
      <c r="J11" s="6" t="str">
        <f aca="false">IF(OR(D11="",E11=""),"",IF(D11=0,"",IF(ABS(F11)/D11&gt;0.02,"ÉCART SIGNIFICATIF",IF(F11=0,"CONFORME","À VÉRIFIER"))))</f>
        <v/>
      </c>
    </row>
    <row r="12" customFormat="false" ht="30" hidden="false" customHeight="true" outlineLevel="0" collapsed="false">
      <c r="A12" s="7"/>
      <c r="B12" s="7"/>
      <c r="C12" s="7"/>
      <c r="D12" s="8"/>
      <c r="E12" s="8"/>
      <c r="F12" s="8" t="str">
        <f aca="false">IF(OR(D12="",E12=""),"",E12-D12)</f>
        <v/>
      </c>
      <c r="G12" s="7"/>
      <c r="H12" s="7"/>
      <c r="I12" s="7"/>
      <c r="J12" s="8" t="str">
        <f aca="false">IF(OR(D12="",E12=""),"",IF(D12=0,"",IF(ABS(F12)/D12&gt;0.02,"ÉCART SIGNIFICATIF",IF(F12=0,"CONFORME","À VÉRIFIER"))))</f>
        <v/>
      </c>
    </row>
    <row r="13" customFormat="false" ht="30" hidden="false" customHeight="true" outlineLevel="0" collapsed="false">
      <c r="A13" s="5"/>
      <c r="B13" s="5"/>
      <c r="C13" s="5"/>
      <c r="D13" s="6"/>
      <c r="E13" s="6"/>
      <c r="F13" s="6" t="str">
        <f aca="false">IF(OR(D13="",E13=""),"",E13-D13)</f>
        <v/>
      </c>
      <c r="G13" s="5"/>
      <c r="H13" s="5"/>
      <c r="I13" s="5"/>
      <c r="J13" s="6" t="str">
        <f aca="false">IF(OR(D13="",E13=""),"",IF(D13=0,"",IF(ABS(F13)/D13&gt;0.02,"ÉCART SIGNIFICATIF",IF(F13=0,"CONFORME","À VÉRIFIER"))))</f>
        <v/>
      </c>
    </row>
    <row r="14" customFormat="false" ht="30" hidden="false" customHeight="true" outlineLevel="0" collapsed="false">
      <c r="A14" s="7"/>
      <c r="B14" s="7"/>
      <c r="C14" s="7"/>
      <c r="D14" s="8"/>
      <c r="E14" s="8"/>
      <c r="F14" s="8" t="str">
        <f aca="false">IF(OR(D14="",E14=""),"",E14-D14)</f>
        <v/>
      </c>
      <c r="G14" s="7"/>
      <c r="H14" s="7"/>
      <c r="I14" s="7"/>
      <c r="J14" s="8" t="str">
        <f aca="false">IF(OR(D14="",E14=""),"",IF(D14=0,"",IF(ABS(F14)/D14&gt;0.02,"ÉCART SIGNIFICATIF",IF(F14=0,"CONFORME","À VÉRIFIER"))))</f>
        <v/>
      </c>
    </row>
    <row r="15" customFormat="false" ht="30" hidden="false" customHeight="true" outlineLevel="0" collapsed="false">
      <c r="A15" s="5"/>
      <c r="B15" s="5"/>
      <c r="C15" s="5"/>
      <c r="D15" s="6"/>
      <c r="E15" s="6"/>
      <c r="F15" s="6" t="str">
        <f aca="false">IF(OR(D15="",E15=""),"",E15-D15)</f>
        <v/>
      </c>
      <c r="G15" s="5"/>
      <c r="H15" s="5"/>
      <c r="I15" s="5"/>
      <c r="J15" s="6" t="str">
        <f aca="false">IF(OR(D15="",E15=""),"",IF(D15=0,"",IF(ABS(F15)/D15&gt;0.02,"ÉCART SIGNIFICATIF",IF(F15=0,"CONFORME","À VÉRIFIER"))))</f>
        <v/>
      </c>
    </row>
    <row r="16" customFormat="false" ht="30" hidden="false" customHeight="true" outlineLevel="0" collapsed="false">
      <c r="A16" s="7"/>
      <c r="B16" s="7"/>
      <c r="C16" s="7"/>
      <c r="D16" s="8"/>
      <c r="E16" s="8"/>
      <c r="F16" s="8" t="str">
        <f aca="false">IF(OR(D16="",E16=""),"",E16-D16)</f>
        <v/>
      </c>
      <c r="G16" s="7"/>
      <c r="H16" s="7"/>
      <c r="I16" s="7"/>
      <c r="J16" s="8" t="str">
        <f aca="false">IF(OR(D16="",E16=""),"",IF(D16=0,"",IF(ABS(F16)/D16&gt;0.02,"ÉCART SIGNIFICATIF",IF(F16=0,"CONFORME","À VÉRIFIER"))))</f>
        <v/>
      </c>
    </row>
    <row r="17" customFormat="false" ht="30" hidden="false" customHeight="true" outlineLevel="0" collapsed="false">
      <c r="A17" s="5"/>
      <c r="B17" s="5"/>
      <c r="C17" s="5"/>
      <c r="D17" s="6"/>
      <c r="E17" s="6"/>
      <c r="F17" s="6" t="str">
        <f aca="false">IF(OR(D17="",E17=""),"",E17-D17)</f>
        <v/>
      </c>
      <c r="G17" s="5"/>
      <c r="H17" s="5"/>
      <c r="I17" s="5"/>
      <c r="J17" s="6" t="str">
        <f aca="false">IF(OR(D17="",E17=""),"",IF(D17=0,"",IF(ABS(F17)/D17&gt;0.02,"ÉCART SIGNIFICATIF",IF(F17=0,"CONFORME","À VÉRIFIER"))))</f>
        <v/>
      </c>
    </row>
    <row r="18" customFormat="false" ht="30" hidden="false" customHeight="true" outlineLevel="0" collapsed="false">
      <c r="A18" s="7"/>
      <c r="B18" s="7"/>
      <c r="C18" s="7"/>
      <c r="D18" s="8"/>
      <c r="E18" s="8"/>
      <c r="F18" s="8" t="str">
        <f aca="false">IF(OR(D18="",E18=""),"",E18-D18)</f>
        <v/>
      </c>
      <c r="G18" s="7"/>
      <c r="H18" s="7"/>
      <c r="I18" s="7"/>
      <c r="J18" s="8" t="str">
        <f aca="false">IF(OR(D18="",E18=""),"",IF(D18=0,"",IF(ABS(F18)/D18&gt;0.02,"ÉCART SIGNIFICATIF",IF(F18=0,"CONFORME","À VÉRIFIER"))))</f>
        <v/>
      </c>
    </row>
    <row r="19" customFormat="false" ht="30" hidden="false" customHeight="true" outlineLevel="0" collapsed="false">
      <c r="A19" s="5"/>
      <c r="B19" s="5"/>
      <c r="C19" s="5"/>
      <c r="D19" s="6"/>
      <c r="E19" s="6"/>
      <c r="F19" s="6" t="str">
        <f aca="false">IF(OR(D19="",E19=""),"",E19-D19)</f>
        <v/>
      </c>
      <c r="G19" s="5"/>
      <c r="H19" s="5"/>
      <c r="I19" s="5"/>
      <c r="J19" s="6" t="str">
        <f aca="false">IF(OR(D19="",E19=""),"",IF(D19=0,"",IF(ABS(F19)/D19&gt;0.02,"ÉCART SIGNIFICATIF",IF(F19=0,"CONFORME","À VÉRIFIER"))))</f>
        <v/>
      </c>
    </row>
    <row r="20" customFormat="false" ht="30" hidden="false" customHeight="true" outlineLevel="0" collapsed="false">
      <c r="A20" s="7"/>
      <c r="B20" s="7"/>
      <c r="C20" s="7"/>
      <c r="D20" s="8"/>
      <c r="E20" s="8"/>
      <c r="F20" s="8" t="str">
        <f aca="false">IF(OR(D20="",E20=""),"",E20-D20)</f>
        <v/>
      </c>
      <c r="G20" s="7"/>
      <c r="H20" s="7"/>
      <c r="I20" s="7"/>
      <c r="J20" s="8" t="str">
        <f aca="false">IF(OR(D20="",E20=""),"",IF(D20=0,"",IF(ABS(F20)/D20&gt;0.02,"ÉCART SIGNIFICATIF",IF(F20=0,"CONFORME","À VÉRIFIER"))))</f>
        <v/>
      </c>
    </row>
    <row r="21" customFormat="false" ht="30" hidden="false" customHeight="true" outlineLevel="0" collapsed="false">
      <c r="A21" s="5"/>
      <c r="B21" s="5"/>
      <c r="C21" s="5"/>
      <c r="D21" s="6"/>
      <c r="E21" s="6"/>
      <c r="F21" s="6" t="str">
        <f aca="false">IF(OR(D21="",E21=""),"",E21-D21)</f>
        <v/>
      </c>
      <c r="G21" s="5"/>
      <c r="H21" s="5"/>
      <c r="I21" s="5"/>
      <c r="J21" s="6" t="str">
        <f aca="false">IF(OR(D21="",E21=""),"",IF(D21=0,"",IF(ABS(F21)/D21&gt;0.02,"ÉCART SIGNIFICATIF",IF(F21=0,"CONFORME","À VÉRIFIER"))))</f>
        <v/>
      </c>
    </row>
    <row r="22" customFormat="false" ht="30" hidden="false" customHeight="true" outlineLevel="0" collapsed="false">
      <c r="A22" s="7"/>
      <c r="B22" s="7"/>
      <c r="C22" s="7"/>
      <c r="D22" s="8"/>
      <c r="E22" s="8"/>
      <c r="F22" s="8" t="str">
        <f aca="false">IF(OR(D22="",E22=""),"",E22-D22)</f>
        <v/>
      </c>
      <c r="G22" s="7"/>
      <c r="H22" s="7"/>
      <c r="I22" s="7"/>
      <c r="J22" s="8" t="str">
        <f aca="false">IF(OR(D22="",E22=""),"",IF(D22=0,"",IF(ABS(F22)/D22&gt;0.02,"ÉCART SIGNIFICATIF",IF(F22=0,"CONFORME","À VÉRIFIER"))))</f>
        <v/>
      </c>
    </row>
    <row r="23" customFormat="false" ht="30" hidden="false" customHeight="true" outlineLevel="0" collapsed="false">
      <c r="A23" s="5"/>
      <c r="B23" s="5"/>
      <c r="C23" s="5"/>
      <c r="D23" s="6"/>
      <c r="E23" s="6"/>
      <c r="F23" s="6" t="str">
        <f aca="false">IF(OR(D23="",E23=""),"",E23-D23)</f>
        <v/>
      </c>
      <c r="G23" s="5"/>
      <c r="H23" s="5"/>
      <c r="I23" s="5"/>
      <c r="J23" s="6" t="str">
        <f aca="false">IF(OR(D23="",E23=""),"",IF(D23=0,"",IF(ABS(F23)/D23&gt;0.02,"ÉCART SIGNIFICATIF",IF(F23=0,"CONFORME","À VÉRIFIER"))))</f>
        <v/>
      </c>
    </row>
    <row r="24" customFormat="false" ht="30" hidden="false" customHeight="true" outlineLevel="0" collapsed="false">
      <c r="A24" s="7"/>
      <c r="B24" s="7"/>
      <c r="C24" s="7"/>
      <c r="D24" s="8"/>
      <c r="E24" s="8"/>
      <c r="F24" s="8" t="str">
        <f aca="false">IF(OR(D24="",E24=""),"",E24-D24)</f>
        <v/>
      </c>
      <c r="G24" s="7"/>
      <c r="H24" s="7"/>
      <c r="I24" s="7"/>
      <c r="J24" s="8" t="str">
        <f aca="false">IF(OR(D24="",E24=""),"",IF(D24=0,"",IF(ABS(F24)/D24&gt;0.02,"ÉCART SIGNIFICATIF",IF(F24=0,"CONFORME","À VÉRIFIER"))))</f>
        <v/>
      </c>
    </row>
    <row r="25" customFormat="false" ht="15" hidden="false" customHeight="true" outlineLevel="0" collapsed="false">
      <c r="A25" s="9" t="s">
        <v>24</v>
      </c>
      <c r="B25" s="9"/>
      <c r="C25" s="9"/>
      <c r="D25" s="9"/>
      <c r="E25" s="9"/>
      <c r="F25" s="9"/>
      <c r="G25" s="9"/>
      <c r="H25" s="9"/>
      <c r="I25" s="9"/>
      <c r="J25" s="9"/>
    </row>
  </sheetData>
  <mergeCells count="7">
    <mergeCell ref="A1:J1"/>
    <mergeCell ref="A2:J2"/>
    <mergeCell ref="A3:C3"/>
    <mergeCell ref="D3:F3"/>
    <mergeCell ref="G3:H3"/>
    <mergeCell ref="I3:J3"/>
    <mergeCell ref="A25:J25"/>
  </mergeCells>
  <conditionalFormatting sqref="J5:J24">
    <cfRule type="expression" priority="2" aboveAverage="0" equalAverage="0" bottom="0" percent="0" rank="0" text="" dxfId="0">
      <formula>$J5="ÉCART SIGNIFICATIF"</formula>
    </cfRule>
    <cfRule type="expression" priority="3" aboveAverage="0" equalAverage="0" bottom="0" percent="0" rank="0" text="" dxfId="1">
      <formula>$J5="À VÉRIFIER"</formula>
    </cfRule>
    <cfRule type="expression" priority="4" aboveAverage="0" equalAverage="0" bottom="0" percent="0" rank="0" text="" dxfId="2">
      <formula>$J5="CONFORME"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27.75" hidden="false" customHeight="true" outlineLevel="0" collapsed="false">
      <c r="A1" s="1" t="s">
        <v>25</v>
      </c>
      <c r="B1" s="1"/>
      <c r="C1" s="1"/>
      <c r="D1" s="1"/>
    </row>
    <row r="2" customFormat="false" ht="15" hidden="false" customHeight="true" outlineLevel="0" collapsed="false">
      <c r="A2" s="10" t="s">
        <v>26</v>
      </c>
      <c r="B2" s="10"/>
      <c r="C2" s="10"/>
      <c r="D2" s="10"/>
    </row>
    <row r="4" customFormat="false" ht="24" hidden="false" customHeight="true" outlineLevel="0" collapsed="false">
      <c r="A4" s="11" t="s">
        <v>27</v>
      </c>
      <c r="B4" s="11" t="s">
        <v>28</v>
      </c>
    </row>
    <row r="5" customFormat="false" ht="21.75" hidden="false" customHeight="true" outlineLevel="0" collapsed="false">
      <c r="A5" s="12" t="s">
        <v>29</v>
      </c>
      <c r="B5" s="12" t="n">
        <f aca="false">COUNTA('Reception-CQ'!A5:A24)</f>
        <v>2</v>
      </c>
    </row>
    <row r="6" customFormat="false" ht="21.75" hidden="false" customHeight="true" outlineLevel="0" collapsed="false">
      <c r="A6" s="12" t="s">
        <v>30</v>
      </c>
      <c r="B6" s="12" t="n">
        <f aca="false">COUNTIF('Reception-CQ'!J5:J24,"CONFORME")</f>
        <v>1</v>
      </c>
    </row>
    <row r="7" customFormat="false" ht="21.75" hidden="false" customHeight="true" outlineLevel="0" collapsed="false">
      <c r="A7" s="12" t="s">
        <v>31</v>
      </c>
      <c r="B7" s="12" t="n">
        <f aca="false">COUNTIF('Reception-CQ'!J5:J24,"À VÉRIFIER")</f>
        <v>0</v>
      </c>
    </row>
    <row r="8" customFormat="false" ht="21.75" hidden="false" customHeight="true" outlineLevel="0" collapsed="false">
      <c r="A8" s="12" t="s">
        <v>32</v>
      </c>
      <c r="B8" s="12" t="n">
        <f aca="false">COUNTIF('Reception-CQ'!J5:J24,"ÉCART SIGNIFICATIF")</f>
        <v>1</v>
      </c>
    </row>
    <row r="9" customFormat="false" ht="21.75" hidden="false" customHeight="true" outlineLevel="0" collapsed="false">
      <c r="A9" s="12" t="s">
        <v>33</v>
      </c>
      <c r="B9" s="12" t="n">
        <f aca="false">SUM('Reception-CQ'!F5:F24)</f>
        <v>-20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2026-08-31T20:58:11Z</dcterms:created>
  <dc:creator>openpyxl</dc:creator>
  <dc:description/>
  <dc:language>fr-FR</dc:language>
  <cp:lastModifiedBy/>
  <dcterms:modified xsi:type="dcterms:W3CDTF">2026-08-31T20:58:11Z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