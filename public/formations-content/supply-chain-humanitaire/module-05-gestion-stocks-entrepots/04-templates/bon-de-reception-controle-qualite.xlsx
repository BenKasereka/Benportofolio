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ception-CQ" sheetId="1" state="visible" r:id="rId3"/>
    <sheet name="Synthese-Ecarts" sheetId="2" state="visible" r:id="rId4"/>
  </sheets>
  <definedNames>
    <definedName function="false" hidden="false" localSheetId="0" name="_xlnm.Print_Area" vbProcedure="false">'Reception-CQ'!$A$1:$L$32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<sst xmlns="http://schemas.openxmlformats.org/spreadsheetml/2006/main" count="41" uniqueCount="38">
  <si>
    <t xml:space="preserve">BON DE RÉCEPTION &amp; CONTRÔLE QUALITÉ (GRN)</t>
  </si>
  <si>
    <t xml:space="preserve">Module 05 — Gestion des Stocks &amp; Entrepôts — BK-BOOST Ltd. — Ne signez aucun bon de livraison transporteur avant d'avoir complété ce document. Seuil de tolérance d'écart : 2 % de la quantité attendue (au-delà, la ligne est signalée « ÉCART SIGNIFICATIF »).</t>
  </si>
  <si>
    <t xml:space="preserve">GRN N° : ________________</t>
  </si>
  <si>
    <t xml:space="preserve">GRN Date : ________________</t>
  </si>
  <si>
    <t xml:space="preserve">Point de stockage : ________________</t>
  </si>
  <si>
    <t xml:space="preserve">Reçu de (fournisseur/expéditeur) : ________________</t>
  </si>
  <si>
    <t xml:space="preserve">Fournisseur : ________________</t>
  </si>
  <si>
    <t xml:space="preserve">N° de facture : ________________</t>
  </si>
  <si>
    <t xml:space="preserve">Date de facture : ________________</t>
  </si>
  <si>
    <t xml:space="preserve">Réf. PO/PL/FO : ________________</t>
  </si>
  <si>
    <t xml:space="preserve">N°</t>
  </si>
  <si>
    <t xml:space="preserve">Code article</t>
  </si>
  <si>
    <t xml:space="preserve">Description article</t>
  </si>
  <si>
    <t xml:space="preserve">Réf. PO</t>
  </si>
  <si>
    <t xml:space="preserve">N° de lot</t>
  </si>
  <si>
    <t xml:space="preserve">Qté attendue (PO)</t>
  </si>
  <si>
    <t xml:space="preserve">Qté reçue</t>
  </si>
  <si>
    <t xml:space="preserve">Unité</t>
  </si>
  <si>
    <t xml:space="preserve">Écart</t>
  </si>
  <si>
    <t xml:space="preserve">Statut</t>
  </si>
  <si>
    <t xml:space="preserve">Remarque (contrôle qualité, écart, état)</t>
  </si>
  <si>
    <t xml:space="preserve">Décision</t>
  </si>
  <si>
    <t xml:space="preserve">Décision : Accepté intégralement / Accepté partiellement (préciser quantité et motif) / Rejeté totalement. Toute décision de rejet doit être communiquée par écrit au fournisseur — voir l'Étape 8 de ce module.</t>
  </si>
  <si>
    <t xml:space="preserve">VALIDATION</t>
  </si>
  <si>
    <t xml:space="preserve">Acheté / Livré par (Nom / Signature / Date)</t>
  </si>
  <si>
    <t xml:space="preserve">Vérifié / Reçu par (Nom / Signature / Date)</t>
  </si>
  <si>
    <t xml:space="preserve">Nom : ________________</t>
  </si>
  <si>
    <t xml:space="preserve">Signature : ________________</t>
  </si>
  <si>
    <t xml:space="preserve">Date : ________________</t>
  </si>
  <si>
    <t xml:space="preserve">SYNTHÈSE DES ÉCARTS DE RÉCEPTION</t>
  </si>
  <si>
    <t xml:space="preserve">Calculée automatiquement à partir de l'onglet Reception-CQ — ne pas modifier les formules.</t>
  </si>
  <si>
    <t xml:space="preserve">Indicateur</t>
  </si>
  <si>
    <t xml:space="preserve">Valeur</t>
  </si>
  <si>
    <t xml:space="preserve">Nombre de lignes contrôlées</t>
  </si>
  <si>
    <t xml:space="preserve">Lignes conformes</t>
  </si>
  <si>
    <t xml:space="preserve">Lignes à vérifier</t>
  </si>
  <si>
    <t xml:space="preserve">Lignes en écart significatif</t>
  </si>
  <si>
    <t xml:space="preserve">Écart total (quantité, toutes lignes)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</si>
</sst>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6"/>
    <col collapsed="false" customWidth="true" hidden="false" outlineLevel="0" max="11" min="11" style="0" width="30"/>
    <col collapsed="false" customWidth="true" hidden="false" outlineLevel="0" max="12" min="12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7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9.5" hidden="false" customHeight="true" outlineLevel="0" collapsed="false">
      <c r="A3" s="3" t="s">
        <v>2</v>
      </c>
      <c r="B3" s="3"/>
      <c r="C3" s="3"/>
      <c r="D3" s="3" t="s">
        <v>3</v>
      </c>
      <c r="E3" s="3"/>
      <c r="F3" s="3"/>
      <c r="G3" s="3" t="s">
        <v>4</v>
      </c>
      <c r="H3" s="3"/>
      <c r="I3" s="3"/>
      <c r="J3" s="3" t="s">
        <v>5</v>
      </c>
      <c r="K3" s="3"/>
      <c r="L3" s="3"/>
    </row>
    <row r="4" customFormat="false" ht="19.5" hidden="false" customHeight="true" outlineLevel="0" collapsed="false">
      <c r="A4" s="3" t="s">
        <v>6</v>
      </c>
      <c r="B4" s="3"/>
      <c r="C4" s="3"/>
      <c r="D4" s="3" t="s">
        <v>7</v>
      </c>
      <c r="E4" s="3"/>
      <c r="F4" s="3"/>
      <c r="G4" s="3" t="s">
        <v>8</v>
      </c>
      <c r="H4" s="3"/>
      <c r="I4" s="3"/>
      <c r="J4" s="3" t="s">
        <v>9</v>
      </c>
      <c r="K4" s="3"/>
      <c r="L4" s="3"/>
    </row>
    <row r="5" customFormat="false" ht="31.5" hidden="false" customHeight="tru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4" t="s">
        <v>19</v>
      </c>
      <c r="K5" s="4" t="s">
        <v>20</v>
      </c>
      <c r="L5" s="4" t="s">
        <v>21</v>
      </c>
    </row>
    <row r="6" customFormat="false" ht="24" hidden="false" customHeight="true" outlineLevel="0" collapsed="false">
      <c r="A6" s="5" t="n">
        <v>1</v>
      </c>
      <c r="B6" s="6"/>
      <c r="C6" s="6"/>
      <c r="D6" s="6"/>
      <c r="E6" s="6"/>
      <c r="F6" s="5"/>
      <c r="G6" s="5"/>
      <c r="H6" s="5"/>
      <c r="I6" s="5" t="str">
        <f aca="false">IF(OR(F6="",G6=""),"",G6-F6)</f>
        <v/>
      </c>
      <c r="J6" s="5" t="str">
        <f aca="false">IF(OR(F6="",G6=""),"",IF(F6=0,"",IF(ABS(I6)/F6&gt;0.02,"ÉCART SIGNIFICATIF",IF(I6=0,"CONFORME","À VÉRIFIER"))))</f>
        <v/>
      </c>
      <c r="K6" s="6"/>
      <c r="L6" s="6"/>
    </row>
    <row r="7" customFormat="false" ht="24" hidden="false" customHeight="true" outlineLevel="0" collapsed="false">
      <c r="A7" s="7" t="n">
        <v>2</v>
      </c>
      <c r="B7" s="8"/>
      <c r="C7" s="8"/>
      <c r="D7" s="8"/>
      <c r="E7" s="8"/>
      <c r="F7" s="7"/>
      <c r="G7" s="7"/>
      <c r="H7" s="7"/>
      <c r="I7" s="7" t="str">
        <f aca="false">IF(OR(F7="",G7=""),"",G7-F7)</f>
        <v/>
      </c>
      <c r="J7" s="7" t="str">
        <f aca="false">IF(OR(F7="",G7=""),"",IF(F7=0,"",IF(ABS(I7)/F7&gt;0.02,"ÉCART SIGNIFICATIF",IF(I7=0,"CONFORME","À VÉRIFIER"))))</f>
        <v/>
      </c>
      <c r="K7" s="8"/>
      <c r="L7" s="8"/>
    </row>
    <row r="8" customFormat="false" ht="24" hidden="false" customHeight="true" outlineLevel="0" collapsed="false">
      <c r="A8" s="5" t="n">
        <v>3</v>
      </c>
      <c r="B8" s="6"/>
      <c r="C8" s="6"/>
      <c r="D8" s="6"/>
      <c r="E8" s="6"/>
      <c r="F8" s="5"/>
      <c r="G8" s="5"/>
      <c r="H8" s="5"/>
      <c r="I8" s="5" t="str">
        <f aca="false">IF(OR(F8="",G8=""),"",G8-F8)</f>
        <v/>
      </c>
      <c r="J8" s="5" t="str">
        <f aca="false">IF(OR(F8="",G8=""),"",IF(F8=0,"",IF(ABS(I8)/F8&gt;0.02,"ÉCART SIGNIFICATIF",IF(I8=0,"CONFORME","À VÉRIFIER"))))</f>
        <v/>
      </c>
      <c r="K8" s="6"/>
      <c r="L8" s="6"/>
    </row>
    <row r="9" customFormat="false" ht="24" hidden="false" customHeight="true" outlineLevel="0" collapsed="false">
      <c r="A9" s="7" t="n">
        <v>4</v>
      </c>
      <c r="B9" s="8"/>
      <c r="C9" s="8"/>
      <c r="D9" s="8"/>
      <c r="E9" s="8"/>
      <c r="F9" s="7"/>
      <c r="G9" s="7"/>
      <c r="H9" s="7"/>
      <c r="I9" s="7" t="str">
        <f aca="false">IF(OR(F9="",G9=""),"",G9-F9)</f>
        <v/>
      </c>
      <c r="J9" s="7" t="str">
        <f aca="false">IF(OR(F9="",G9=""),"",IF(F9=0,"",IF(ABS(I9)/F9&gt;0.02,"ÉCART SIGNIFICATIF",IF(I9=0,"CONFORME","À VÉRIFIER"))))</f>
        <v/>
      </c>
      <c r="K9" s="8"/>
      <c r="L9" s="8"/>
    </row>
    <row r="10" customFormat="false" ht="24" hidden="false" customHeight="true" outlineLevel="0" collapsed="false">
      <c r="A10" s="5" t="n">
        <v>5</v>
      </c>
      <c r="B10" s="6"/>
      <c r="C10" s="6"/>
      <c r="D10" s="6"/>
      <c r="E10" s="6"/>
      <c r="F10" s="5"/>
      <c r="G10" s="5"/>
      <c r="H10" s="5"/>
      <c r="I10" s="5" t="str">
        <f aca="false">IF(OR(F10="",G10=""),"",G10-F10)</f>
        <v/>
      </c>
      <c r="J10" s="5" t="str">
        <f aca="false">IF(OR(F10="",G10=""),"",IF(F10=0,"",IF(ABS(I10)/F10&gt;0.02,"ÉCART SIGNIFICATIF",IF(I10=0,"CONFORME","À VÉRIFIER"))))</f>
        <v/>
      </c>
      <c r="K10" s="6"/>
      <c r="L10" s="6"/>
    </row>
    <row r="11" customFormat="false" ht="24" hidden="false" customHeight="true" outlineLevel="0" collapsed="false">
      <c r="A11" s="7" t="n">
        <v>6</v>
      </c>
      <c r="B11" s="8"/>
      <c r="C11" s="8"/>
      <c r="D11" s="8"/>
      <c r="E11" s="8"/>
      <c r="F11" s="7"/>
      <c r="G11" s="7"/>
      <c r="H11" s="7"/>
      <c r="I11" s="7" t="str">
        <f aca="false">IF(OR(F11="",G11=""),"",G11-F11)</f>
        <v/>
      </c>
      <c r="J11" s="7" t="str">
        <f aca="false">IF(OR(F11="",G11=""),"",IF(F11=0,"",IF(ABS(I11)/F11&gt;0.02,"ÉCART SIGNIFICATIF",IF(I11=0,"CONFORME","À VÉRIFIER"))))</f>
        <v/>
      </c>
      <c r="K11" s="8"/>
      <c r="L11" s="8"/>
    </row>
    <row r="12" customFormat="false" ht="24" hidden="false" customHeight="true" outlineLevel="0" collapsed="false">
      <c r="A12" s="5" t="n">
        <v>7</v>
      </c>
      <c r="B12" s="6"/>
      <c r="C12" s="6"/>
      <c r="D12" s="6"/>
      <c r="E12" s="6"/>
      <c r="F12" s="5"/>
      <c r="G12" s="5"/>
      <c r="H12" s="5"/>
      <c r="I12" s="5" t="str">
        <f aca="false">IF(OR(F12="",G12=""),"",G12-F12)</f>
        <v/>
      </c>
      <c r="J12" s="5" t="str">
        <f aca="false">IF(OR(F12="",G12=""),"",IF(F12=0,"",IF(ABS(I12)/F12&gt;0.02,"ÉCART SIGNIFICATIF",IF(I12=0,"CONFORME","À VÉRIFIER"))))</f>
        <v/>
      </c>
      <c r="K12" s="6"/>
      <c r="L12" s="6"/>
    </row>
    <row r="13" customFormat="false" ht="24" hidden="false" customHeight="true" outlineLevel="0" collapsed="false">
      <c r="A13" s="7" t="n">
        <v>8</v>
      </c>
      <c r="B13" s="8"/>
      <c r="C13" s="8"/>
      <c r="D13" s="8"/>
      <c r="E13" s="8"/>
      <c r="F13" s="7"/>
      <c r="G13" s="7"/>
      <c r="H13" s="7"/>
      <c r="I13" s="7" t="str">
        <f aca="false">IF(OR(F13="",G13=""),"",G13-F13)</f>
        <v/>
      </c>
      <c r="J13" s="7" t="str">
        <f aca="false">IF(OR(F13="",G13=""),"",IF(F13=0,"",IF(ABS(I13)/F13&gt;0.02,"ÉCART SIGNIFICATIF",IF(I13=0,"CONFORME","À VÉRIFIER"))))</f>
        <v/>
      </c>
      <c r="K13" s="8"/>
      <c r="L13" s="8"/>
    </row>
    <row r="14" customFormat="false" ht="24" hidden="false" customHeight="true" outlineLevel="0" collapsed="false">
      <c r="A14" s="5" t="n">
        <v>9</v>
      </c>
      <c r="B14" s="6"/>
      <c r="C14" s="6"/>
      <c r="D14" s="6"/>
      <c r="E14" s="6"/>
      <c r="F14" s="5"/>
      <c r="G14" s="5"/>
      <c r="H14" s="5"/>
      <c r="I14" s="5" t="str">
        <f aca="false">IF(OR(F14="",G14=""),"",G14-F14)</f>
        <v/>
      </c>
      <c r="J14" s="5" t="str">
        <f aca="false">IF(OR(F14="",G14=""),"",IF(F14=0,"",IF(ABS(I14)/F14&gt;0.02,"ÉCART SIGNIFICATIF",IF(I14=0,"CONFORME","À VÉRIFIER"))))</f>
        <v/>
      </c>
      <c r="K14" s="6"/>
      <c r="L14" s="6"/>
    </row>
    <row r="15" customFormat="false" ht="24" hidden="false" customHeight="true" outlineLevel="0" collapsed="false">
      <c r="A15" s="7" t="n">
        <v>10</v>
      </c>
      <c r="B15" s="8"/>
      <c r="C15" s="8"/>
      <c r="D15" s="8"/>
      <c r="E15" s="8"/>
      <c r="F15" s="7"/>
      <c r="G15" s="7"/>
      <c r="H15" s="7"/>
      <c r="I15" s="7" t="str">
        <f aca="false">IF(OR(F15="",G15=""),"",G15-F15)</f>
        <v/>
      </c>
      <c r="J15" s="7" t="str">
        <f aca="false">IF(OR(F15="",G15=""),"",IF(F15=0,"",IF(ABS(I15)/F15&gt;0.02,"ÉCART SIGNIFICATIF",IF(I15=0,"CONFORME","À VÉRIFIER"))))</f>
        <v/>
      </c>
      <c r="K15" s="8"/>
      <c r="L15" s="8"/>
    </row>
    <row r="16" customFormat="false" ht="24" hidden="false" customHeight="true" outlineLevel="0" collapsed="false">
      <c r="A16" s="5" t="n">
        <v>11</v>
      </c>
      <c r="B16" s="6"/>
      <c r="C16" s="6"/>
      <c r="D16" s="6"/>
      <c r="E16" s="6"/>
      <c r="F16" s="5"/>
      <c r="G16" s="5"/>
      <c r="H16" s="5"/>
      <c r="I16" s="5" t="str">
        <f aca="false">IF(OR(F16="",G16=""),"",G16-F16)</f>
        <v/>
      </c>
      <c r="J16" s="5" t="str">
        <f aca="false">IF(OR(F16="",G16=""),"",IF(F16=0,"",IF(ABS(I16)/F16&gt;0.02,"ÉCART SIGNIFICATIF",IF(I16=0,"CONFORME","À VÉRIFIER"))))</f>
        <v/>
      </c>
      <c r="K16" s="6"/>
      <c r="L16" s="6"/>
    </row>
    <row r="17" customFormat="false" ht="24" hidden="false" customHeight="true" outlineLevel="0" collapsed="false">
      <c r="A17" s="7" t="n">
        <v>12</v>
      </c>
      <c r="B17" s="8"/>
      <c r="C17" s="8"/>
      <c r="D17" s="8"/>
      <c r="E17" s="8"/>
      <c r="F17" s="7"/>
      <c r="G17" s="7"/>
      <c r="H17" s="7"/>
      <c r="I17" s="7" t="str">
        <f aca="false">IF(OR(F17="",G17=""),"",G17-F17)</f>
        <v/>
      </c>
      <c r="J17" s="7" t="str">
        <f aca="false">IF(OR(F17="",G17=""),"",IF(F17=0,"",IF(ABS(I17)/F17&gt;0.02,"ÉCART SIGNIFICATIF",IF(I17=0,"CONFORME","À VÉRIFIER"))))</f>
        <v/>
      </c>
      <c r="K17" s="8"/>
      <c r="L17" s="8"/>
    </row>
    <row r="18" customFormat="false" ht="24" hidden="false" customHeight="true" outlineLevel="0" collapsed="false">
      <c r="A18" s="5" t="n">
        <v>13</v>
      </c>
      <c r="B18" s="6"/>
      <c r="C18" s="6"/>
      <c r="D18" s="6"/>
      <c r="E18" s="6"/>
      <c r="F18" s="5"/>
      <c r="G18" s="5"/>
      <c r="H18" s="5"/>
      <c r="I18" s="5" t="str">
        <f aca="false">IF(OR(F18="",G18=""),"",G18-F18)</f>
        <v/>
      </c>
      <c r="J18" s="5" t="str">
        <f aca="false">IF(OR(F18="",G18=""),"",IF(F18=0,"",IF(ABS(I18)/F18&gt;0.02,"ÉCART SIGNIFICATIF",IF(I18=0,"CONFORME","À VÉRIFIER"))))</f>
        <v/>
      </c>
      <c r="K18" s="6"/>
      <c r="L18" s="6"/>
    </row>
    <row r="19" customFormat="false" ht="24" hidden="false" customHeight="true" outlineLevel="0" collapsed="false">
      <c r="A19" s="7" t="n">
        <v>14</v>
      </c>
      <c r="B19" s="8"/>
      <c r="C19" s="8"/>
      <c r="D19" s="8"/>
      <c r="E19" s="8"/>
      <c r="F19" s="7"/>
      <c r="G19" s="7"/>
      <c r="H19" s="7"/>
      <c r="I19" s="7" t="str">
        <f aca="false">IF(OR(F19="",G19=""),"",G19-F19)</f>
        <v/>
      </c>
      <c r="J19" s="7" t="str">
        <f aca="false">IF(OR(F19="",G19=""),"",IF(F19=0,"",IF(ABS(I19)/F19&gt;0.02,"ÉCART SIGNIFICATIF",IF(I19=0,"CONFORME","À VÉRIFIER"))))</f>
        <v/>
      </c>
      <c r="K19" s="8"/>
      <c r="L19" s="8"/>
    </row>
    <row r="20" customFormat="false" ht="24" hidden="false" customHeight="true" outlineLevel="0" collapsed="false">
      <c r="A20" s="5" t="n">
        <v>15</v>
      </c>
      <c r="B20" s="6"/>
      <c r="C20" s="6"/>
      <c r="D20" s="6"/>
      <c r="E20" s="6"/>
      <c r="F20" s="5"/>
      <c r="G20" s="5"/>
      <c r="H20" s="5"/>
      <c r="I20" s="5" t="str">
        <f aca="false">IF(OR(F20="",G20=""),"",G20-F20)</f>
        <v/>
      </c>
      <c r="J20" s="5" t="str">
        <f aca="false">IF(OR(F20="",G20=""),"",IF(F20=0,"",IF(ABS(I20)/F20&gt;0.02,"ÉCART SIGNIFICATIF",IF(I20=0,"CONFORME","À VÉRIFIER"))))</f>
        <v/>
      </c>
      <c r="K20" s="6"/>
      <c r="L20" s="6"/>
    </row>
    <row r="21" customFormat="false" ht="24" hidden="false" customHeight="true" outlineLevel="0" collapsed="false">
      <c r="A21" s="7" t="n">
        <v>16</v>
      </c>
      <c r="B21" s="8"/>
      <c r="C21" s="8"/>
      <c r="D21" s="8"/>
      <c r="E21" s="8"/>
      <c r="F21" s="7"/>
      <c r="G21" s="7"/>
      <c r="H21" s="7"/>
      <c r="I21" s="7" t="str">
        <f aca="false">IF(OR(F21="",G21=""),"",G21-F21)</f>
        <v/>
      </c>
      <c r="J21" s="7" t="str">
        <f aca="false">IF(OR(F21="",G21=""),"",IF(F21=0,"",IF(ABS(I21)/F21&gt;0.02,"ÉCART SIGNIFICATIF",IF(I21=0,"CONFORME","À VÉRIFIER"))))</f>
        <v/>
      </c>
      <c r="K21" s="8"/>
      <c r="L21" s="8"/>
    </row>
    <row r="22" customFormat="false" ht="24" hidden="false" customHeight="true" outlineLevel="0" collapsed="false">
      <c r="A22" s="5" t="n">
        <v>17</v>
      </c>
      <c r="B22" s="6"/>
      <c r="C22" s="6"/>
      <c r="D22" s="6"/>
      <c r="E22" s="6"/>
      <c r="F22" s="5"/>
      <c r="G22" s="5"/>
      <c r="H22" s="5"/>
      <c r="I22" s="5" t="str">
        <f aca="false">IF(OR(F22="",G22=""),"",G22-F22)</f>
        <v/>
      </c>
      <c r="J22" s="5" t="str">
        <f aca="false">IF(OR(F22="",G22=""),"",IF(F22=0,"",IF(ABS(I22)/F22&gt;0.02,"ÉCART SIGNIFICATIF",IF(I22=0,"CONFORME","À VÉRIFIER"))))</f>
        <v/>
      </c>
      <c r="K22" s="6"/>
      <c r="L22" s="6"/>
    </row>
    <row r="23" customFormat="false" ht="24" hidden="false" customHeight="true" outlineLevel="0" collapsed="false">
      <c r="A23" s="7" t="n">
        <v>18</v>
      </c>
      <c r="B23" s="8"/>
      <c r="C23" s="8"/>
      <c r="D23" s="8"/>
      <c r="E23" s="8"/>
      <c r="F23" s="7"/>
      <c r="G23" s="7"/>
      <c r="H23" s="7"/>
      <c r="I23" s="7" t="str">
        <f aca="false">IF(OR(F23="",G23=""),"",G23-F23)</f>
        <v/>
      </c>
      <c r="J23" s="7" t="str">
        <f aca="false">IF(OR(F23="",G23=""),"",IF(F23=0,"",IF(ABS(I23)/F23&gt;0.02,"ÉCART SIGNIFICATIF",IF(I23=0,"CONFORME","À VÉRIFIER"))))</f>
        <v/>
      </c>
      <c r="K23" s="8"/>
      <c r="L23" s="8"/>
    </row>
    <row r="24" customFormat="false" ht="24" hidden="false" customHeight="true" outlineLevel="0" collapsed="false">
      <c r="A24" s="5" t="n">
        <v>19</v>
      </c>
      <c r="B24" s="6"/>
      <c r="C24" s="6"/>
      <c r="D24" s="6"/>
      <c r="E24" s="6"/>
      <c r="F24" s="5"/>
      <c r="G24" s="5"/>
      <c r="H24" s="5"/>
      <c r="I24" s="5" t="str">
        <f aca="false">IF(OR(F24="",G24=""),"",G24-F24)</f>
        <v/>
      </c>
      <c r="J24" s="5" t="str">
        <f aca="false">IF(OR(F24="",G24=""),"",IF(F24=0,"",IF(ABS(I24)/F24&gt;0.02,"ÉCART SIGNIFICATIF",IF(I24=0,"CONFORME","À VÉRIFIER"))))</f>
        <v/>
      </c>
      <c r="K24" s="6"/>
      <c r="L24" s="6"/>
    </row>
    <row r="25" customFormat="false" ht="24" hidden="false" customHeight="true" outlineLevel="0" collapsed="false">
      <c r="A25" s="7" t="n">
        <v>20</v>
      </c>
      <c r="B25" s="8"/>
      <c r="C25" s="8"/>
      <c r="D25" s="8"/>
      <c r="E25" s="8"/>
      <c r="F25" s="7"/>
      <c r="G25" s="7"/>
      <c r="H25" s="7"/>
      <c r="I25" s="7" t="str">
        <f aca="false">IF(OR(F25="",G25=""),"",G25-F25)</f>
        <v/>
      </c>
      <c r="J25" s="7" t="str">
        <f aca="false">IF(OR(F25="",G25=""),"",IF(F25=0,"",IF(ABS(I25)/F25&gt;0.02,"ÉCART SIGNIFICATIF",IF(I25=0,"CONFORME","À VÉRIFIER"))))</f>
        <v/>
      </c>
      <c r="K25" s="8"/>
      <c r="L25" s="8"/>
    </row>
    <row r="26" customFormat="false" ht="27" hidden="false" customHeight="true" outlineLevel="0" collapsed="false">
      <c r="A26" s="2" t="s">
        <v>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7.5" hidden="false" customHeight="true" outlineLevel="0" collapsed="false"/>
    <row r="28" customFormat="false" ht="21.75" hidden="false" customHeight="true" outlineLevel="0" collapsed="false">
      <c r="A28" s="9" t="s">
        <v>23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customFormat="false" ht="21.75" hidden="false" customHeight="true" outlineLevel="0" collapsed="false">
      <c r="A29" s="4" t="s">
        <v>24</v>
      </c>
      <c r="B29" s="4"/>
      <c r="C29" s="4"/>
      <c r="D29" s="4"/>
      <c r="E29" s="4"/>
      <c r="F29" s="4"/>
      <c r="G29" s="4" t="s">
        <v>25</v>
      </c>
      <c r="H29" s="4"/>
      <c r="I29" s="4"/>
      <c r="J29" s="4"/>
      <c r="K29" s="4"/>
      <c r="L29" s="4"/>
    </row>
    <row r="30" customFormat="false" ht="18" hidden="false" customHeight="true" outlineLevel="0" collapsed="false">
      <c r="A30" s="3" t="s">
        <v>26</v>
      </c>
      <c r="B30" s="3"/>
      <c r="C30" s="3"/>
      <c r="D30" s="3"/>
      <c r="E30" s="3"/>
      <c r="F30" s="3"/>
      <c r="G30" s="3" t="s">
        <v>26</v>
      </c>
      <c r="H30" s="3"/>
      <c r="I30" s="3"/>
      <c r="J30" s="3"/>
      <c r="K30" s="3"/>
      <c r="L30" s="3"/>
    </row>
    <row r="31" customFormat="false" ht="18" hidden="false" customHeight="true" outlineLevel="0" collapsed="false">
      <c r="A31" s="3" t="s">
        <v>27</v>
      </c>
      <c r="B31" s="3"/>
      <c r="C31" s="3"/>
      <c r="D31" s="3"/>
      <c r="E31" s="3"/>
      <c r="F31" s="3"/>
      <c r="G31" s="3" t="s">
        <v>27</v>
      </c>
      <c r="H31" s="3"/>
      <c r="I31" s="3"/>
      <c r="J31" s="3"/>
      <c r="K31" s="3"/>
      <c r="L31" s="3"/>
    </row>
    <row r="32" customFormat="false" ht="18" hidden="false" customHeight="true" outlineLevel="0" collapsed="false">
      <c r="A32" s="3" t="s">
        <v>28</v>
      </c>
      <c r="B32" s="3"/>
      <c r="C32" s="3"/>
      <c r="D32" s="3"/>
      <c r="E32" s="3"/>
      <c r="F32" s="3"/>
      <c r="G32" s="3" t="s">
        <v>28</v>
      </c>
      <c r="H32" s="3"/>
      <c r="I32" s="3"/>
      <c r="J32" s="3"/>
      <c r="K32" s="3"/>
      <c r="L32" s="3"/>
    </row>
  </sheetData>
  <mergeCells count="20">
    <mergeCell ref="A1:L1"/>
    <mergeCell ref="A2:L2"/>
    <mergeCell ref="A3:C3"/>
    <mergeCell ref="D3:F3"/>
    <mergeCell ref="G3:I3"/>
    <mergeCell ref="J3:L3"/>
    <mergeCell ref="A4:C4"/>
    <mergeCell ref="D4:F4"/>
    <mergeCell ref="G4:I4"/>
    <mergeCell ref="J4:L4"/>
    <mergeCell ref="A26:L26"/>
    <mergeCell ref="A28:L28"/>
    <mergeCell ref="A29:F29"/>
    <mergeCell ref="G29:L29"/>
    <mergeCell ref="A30:F30"/>
    <mergeCell ref="G30:L30"/>
    <mergeCell ref="A31:F31"/>
    <mergeCell ref="G31:L31"/>
    <mergeCell ref="A32:F32"/>
    <mergeCell ref="G32:L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</cols>
  <sheetData>
    <row r="1" customFormat="false" ht="27.75" hidden="false" customHeight="true" outlineLevel="0" collapsed="false">
      <c r="A1" s="1" t="s">
        <v>29</v>
      </c>
      <c r="B1" s="1"/>
      <c r="C1" s="1"/>
      <c r="D1" s="1"/>
    </row>
    <row r="2" customFormat="false" ht="15" hidden="false" customHeight="false" outlineLevel="0" collapsed="false">
      <c r="A2" s="10" t="s">
        <v>30</v>
      </c>
      <c r="B2" s="10"/>
      <c r="C2" s="10"/>
      <c r="D2" s="10"/>
    </row>
    <row r="4" customFormat="false" ht="15" hidden="false" customHeight="false" outlineLevel="0" collapsed="false">
      <c r="A4" s="4" t="s">
        <v>31</v>
      </c>
      <c r="B4" s="4" t="s">
        <v>32</v>
      </c>
    </row>
    <row r="5" customFormat="false" ht="15" hidden="false" customHeight="false" outlineLevel="0" collapsed="false">
      <c r="A5" s="6" t="s">
        <v>33</v>
      </c>
      <c r="B5" s="5" t="n">
        <f aca="false">COUNTA('Reception-CQ'!A6:A25)</f>
        <v>20</v>
      </c>
    </row>
    <row r="6" customFormat="false" ht="15" hidden="false" customHeight="false" outlineLevel="0" collapsed="false">
      <c r="A6" s="8" t="s">
        <v>34</v>
      </c>
      <c r="B6" s="7" t="n">
        <f aca="false">COUNTIF('Reception-CQ'!J6:J25,"CONFORME")</f>
        <v>0</v>
      </c>
    </row>
    <row r="7" customFormat="false" ht="15" hidden="false" customHeight="false" outlineLevel="0" collapsed="false">
      <c r="A7" s="6" t="s">
        <v>35</v>
      </c>
      <c r="B7" s="5" t="n">
        <f aca="false">COUNTIF('Reception-CQ'!J6:J25,"À VÉRIFIER")</f>
        <v>0</v>
      </c>
    </row>
    <row r="8" customFormat="false" ht="15" hidden="false" customHeight="false" outlineLevel="0" collapsed="false">
      <c r="A8" s="8" t="s">
        <v>36</v>
      </c>
      <c r="B8" s="7" t="n">
        <f aca="false">COUNTIF('Reception-CQ'!J6:J25,"ÉCART SIGNIFICATIF")</f>
        <v>0</v>
      </c>
    </row>
    <row r="9" customFormat="false" ht="15" hidden="false" customHeight="false" outlineLevel="0" collapsed="false">
      <c r="A9" s="6" t="s">
        <v>37</v>
      </c>
      <c r="B9" s="5" t="n">
        <f aca="false">SUM('Reception-CQ'!I6:I25)</f>
        <v>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2026-09-10T16:29:27Z</dcterms:created>
  <dc:creator>openpyxl</dc:creator>
  <dc:description/>
  <dc:language>fr-FR</dc:language>
  <cp:lastModifiedBy/>
  <dcterms:modified xsi:type="dcterms:W3CDTF">2026-09-10T16:29:27Z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