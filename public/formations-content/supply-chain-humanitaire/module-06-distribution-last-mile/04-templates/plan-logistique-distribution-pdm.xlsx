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lanification" sheetId="1" state="visible" r:id="rId3"/>
    <sheet name="PDM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<sst xmlns="http://schemas.openxmlformats.org/spreadsheetml/2006/main" count="123" uniqueCount="85">
  <si>
    <t xml:space="preserve">PLAN LOGISTIQUE DE DISTRIBUTION</t>
  </si>
  <si>
    <t xml:space="preserve">Formation en Supply Chain Management Humanitaire — Module 05 — BK-BOOST</t>
  </si>
  <si>
    <t xml:space="preserve">1. PARAMETRES DE LA DISTRIBUTION (A COMPLETER)</t>
  </si>
  <si>
    <t xml:space="preserve">Site de distribution</t>
  </si>
  <si>
    <t xml:space="preserve">Site de deplaces - N'Djamena (exemple)</t>
  </si>
  <si>
    <t xml:space="preserve">Date de distribution</t>
  </si>
  <si>
    <t xml:space="preserve">Menages cibles</t>
  </si>
  <si>
    <t xml:space="preserve">Poids par kit NFI (kg)</t>
  </si>
  <si>
    <t xml:space="preserve">Volume par kit NFI (m3)</t>
  </si>
  <si>
    <t xml:space="preserve">Capacite camion (kg)</t>
  </si>
  <si>
    <t xml:space="preserve">Capacite camion (m3)</t>
  </si>
  <si>
    <t xml:space="preserve">2. BESOINS DE TRANSPORT (CALCULES)</t>
  </si>
  <si>
    <t xml:space="preserve">Poids total a transporter (kg)</t>
  </si>
  <si>
    <t xml:space="preserve">Volume total a transporter (m3)</t>
  </si>
  <si>
    <t xml:space="preserve">Rotations necessaires (contrainte poids)</t>
  </si>
  <si>
    <t xml:space="preserve">Rotations necessaires (contrainte volume)</t>
  </si>
  <si>
    <t xml:space="preserve">ROTATIONS DE CAMION RETENUES (MAX)</t>
  </si>
  <si>
    <t xml:space="preserve">3. BESOINS EN STAFF (CALCULES)</t>
  </si>
  <si>
    <t xml:space="preserve">Poste</t>
  </si>
  <si>
    <t xml:space="preserve">Ratio pour 100 menages</t>
  </si>
  <si>
    <t xml:space="preserve">Agents necessaires</t>
  </si>
  <si>
    <t xml:space="preserve">Verification beneficiaires (liste / Kobo-ODK)</t>
  </si>
  <si>
    <t xml:space="preserve">Distribution physique des kits</t>
  </si>
  <si>
    <t xml:space="preserve">Gestion de foule / securite du site</t>
  </si>
  <si>
    <t xml:space="preserve">Premiers secours</t>
  </si>
  <si>
    <t xml:space="preserve">Supervision / coordination generale</t>
  </si>
  <si>
    <t xml:space="preserve">TOTAL AGENTS NECESSAIRES</t>
  </si>
  <si>
    <t xml:space="preserve">4. CHRONOGRAMME DE LA JOURNEE (A COMPLETER)</t>
  </si>
  <si>
    <t xml:space="preserve">Heure</t>
  </si>
  <si>
    <t xml:space="preserve">Activite</t>
  </si>
  <si>
    <t xml:space="preserve">Responsable</t>
  </si>
  <si>
    <t xml:space="preserve">Notes</t>
  </si>
  <si>
    <t xml:space="preserve">06h00</t>
  </si>
  <si>
    <t xml:space="preserve">Arrivee equipe, montage site, balisage circuit</t>
  </si>
  <si>
    <t xml:space="preserve">Chef de site</t>
  </si>
  <si>
    <t xml:space="preserve">07h00</t>
  </si>
  <si>
    <t xml:space="preserve">Arrivee 1re rotation camion, controle marchandise</t>
  </si>
  <si>
    <t xml:space="preserve">Log Officer</t>
  </si>
  <si>
    <t xml:space="preserve">07h30</t>
  </si>
  <si>
    <t xml:space="preserve">Ouverture site, debut verification beneficiaires</t>
  </si>
  <si>
    <t xml:space="preserve">Equipe verification</t>
  </si>
  <si>
    <t xml:space="preserve">08h00 - 12h00</t>
  </si>
  <si>
    <t xml:space="preserve">Distribution continue par vagues</t>
  </si>
  <si>
    <t xml:space="preserve">Equipe distribution</t>
  </si>
  <si>
    <t xml:space="preserve">Marge imprevu incluse</t>
  </si>
  <si>
    <t xml:space="preserve">12h00 - 12h30</t>
  </si>
  <si>
    <t xml:space="preserve">Pause equipe (rotation, site jamais laisse sans supervision)</t>
  </si>
  <si>
    <t xml:space="preserve">12h30 - 15h00</t>
  </si>
  <si>
    <t xml:space="preserve">Reprise distribution, 2e/3e rotation camion</t>
  </si>
  <si>
    <t xml:space="preserve">15h00</t>
  </si>
  <si>
    <t xml:space="preserve">Cloture verification, comptage stock restant</t>
  </si>
  <si>
    <t xml:space="preserve">15h30</t>
  </si>
  <si>
    <t xml:space="preserve">Debriefing incidents et plaintes du jour</t>
  </si>
  <si>
    <t xml:space="preserve">Voir registre plaintes</t>
  </si>
  <si>
    <t xml:space="preserve">A completer</t>
  </si>
  <si>
    <t xml:space="preserve">SUIVI POST-DISTRIBUTION (PDM)</t>
  </si>
  <si>
    <t xml:space="preserve">1. TAUX DE COUVERTURE GLOBAL</t>
  </si>
  <si>
    <t xml:space="preserve">Menages servis le jour J (declare)</t>
  </si>
  <si>
    <t xml:space="preserve">TAUX DE COUVERTURE GLOBAL</t>
  </si>
  <si>
    <t xml:space="preserve">Menages avec ecart signale (echantillon PDM)</t>
  </si>
  <si>
    <t xml:space="preserve">2. ECHANTILLON DE VERIFICATION PDM</t>
  </si>
  <si>
    <t xml:space="preserve">N°</t>
  </si>
  <si>
    <t xml:space="preserve">Reference menage
(anonymisee)</t>
  </si>
  <si>
    <t xml:space="preserve">Servi le jour J
(Oui/Non)</t>
  </si>
  <si>
    <t xml:space="preserve">Qte attendue
(kits)</t>
  </si>
  <si>
    <t xml:space="preserve">Qte recue declaree
(kits)</t>
  </si>
  <si>
    <t xml:space="preserve">Ecart</t>
  </si>
  <si>
    <t xml:space="preserve">Kit conforme
(Oui/Non/Partiel)</t>
  </si>
  <si>
    <t xml:space="preserve">Date verification
PDM</t>
  </si>
  <si>
    <t xml:space="preserve">Discrepancy
flag</t>
  </si>
  <si>
    <t xml:space="preserve">Commentaire</t>
  </si>
  <si>
    <t xml:space="preserve">MEN-0012</t>
  </si>
  <si>
    <t xml:space="preserve">Oui</t>
  </si>
  <si>
    <t xml:space="preserve">Kit complet, RAS</t>
  </si>
  <si>
    <t xml:space="preserve">MEN-0045</t>
  </si>
  <si>
    <t xml:space="preserve">MEN-0078</t>
  </si>
  <si>
    <t xml:space="preserve">Partiel</t>
  </si>
  <si>
    <t xml:space="preserve">Bache manquante, a completer</t>
  </si>
  <si>
    <t xml:space="preserve">MEN-0091</t>
  </si>
  <si>
    <t xml:space="preserve">Non</t>
  </si>
  <si>
    <t xml:space="preserve">Absent le jour J, non touche</t>
  </si>
  <si>
    <t xml:space="preserve">MEN-0103</t>
  </si>
  <si>
    <t xml:space="preserve">Suspicion double passage - a verifier</t>
  </si>
  <si>
    <t xml:space="preserve">MEN-0114</t>
  </si>
  <si>
    <t xml:space="preserve">Un menage passe automatiquement en "A VERIFIER" des qu'un ecart de quantite, une non-conformite ou une absence de passage est enregistre. Toute ligne signalee doit etre expliquee en commentaire avant cloture du PDM.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</si>
</sst>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0.000"/>
    <numFmt numFmtId="167" formatCode="#,##0"/>
    <numFmt numFmtId="168" formatCode="#,##0.0"/>
    <numFmt numFmtId="169" formatCode="0"/>
    <numFmt numFmtId="170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65F46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B91C1C"/>
        <sz val="10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065F46"/>
        <sz val="10"/>
      </font>
      <fill>
        <patternFill>
          <bgColor rgb="FFD1FAE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91C1C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21.75" hidden="false" customHeight="tru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6" t="n">
        <v>46279</v>
      </c>
    </row>
    <row r="7" customFormat="false" ht="15" hidden="false" customHeight="false" outlineLevel="0" collapsed="false">
      <c r="A7" s="4" t="s">
        <v>6</v>
      </c>
      <c r="B7" s="5" t="n">
        <v>1800</v>
      </c>
    </row>
    <row r="8" customFormat="false" ht="15" hidden="false" customHeight="false" outlineLevel="0" collapsed="false">
      <c r="A8" s="4" t="s">
        <v>7</v>
      </c>
      <c r="B8" s="5" t="n">
        <v>12</v>
      </c>
    </row>
    <row r="9" customFormat="false" ht="15" hidden="false" customHeight="false" outlineLevel="0" collapsed="false">
      <c r="A9" s="4" t="s">
        <v>8</v>
      </c>
      <c r="B9" s="7" t="n">
        <v>0.045</v>
      </c>
    </row>
    <row r="10" customFormat="false" ht="15" hidden="false" customHeight="false" outlineLevel="0" collapsed="false">
      <c r="A10" s="4" t="s">
        <v>9</v>
      </c>
      <c r="B10" s="5" t="n">
        <v>8000</v>
      </c>
    </row>
    <row r="11" customFormat="false" ht="15" hidden="false" customHeight="false" outlineLevel="0" collapsed="false">
      <c r="A11" s="4" t="s">
        <v>10</v>
      </c>
      <c r="B11" s="5" t="n">
        <v>30</v>
      </c>
    </row>
    <row r="13" customFormat="false" ht="21.75" hidden="false" customHeight="true" outlineLevel="0" collapsed="false">
      <c r="A13" s="3" t="s">
        <v>11</v>
      </c>
      <c r="B13" s="3"/>
      <c r="C13" s="3"/>
      <c r="D13" s="3"/>
    </row>
    <row r="14" customFormat="false" ht="15" hidden="false" customHeight="false" outlineLevel="0" collapsed="false">
      <c r="A14" s="4" t="s">
        <v>12</v>
      </c>
      <c r="B14" s="8" t="n">
        <f aca="false">B7*B8</f>
        <v>21600</v>
      </c>
    </row>
    <row r="15" customFormat="false" ht="15" hidden="false" customHeight="false" outlineLevel="0" collapsed="false">
      <c r="A15" s="4" t="s">
        <v>13</v>
      </c>
      <c r="B15" s="9" t="n">
        <f aca="false">B7*B9</f>
        <v>81</v>
      </c>
    </row>
    <row r="16" customFormat="false" ht="15" hidden="false" customHeight="false" outlineLevel="0" collapsed="false">
      <c r="A16" s="4" t="s">
        <v>14</v>
      </c>
      <c r="B16" s="10" t="n">
        <f aca="false">ROUNDUP(B14/B10,0)</f>
        <v>3</v>
      </c>
    </row>
    <row r="17" customFormat="false" ht="15" hidden="false" customHeight="false" outlineLevel="0" collapsed="false">
      <c r="A17" s="4" t="s">
        <v>15</v>
      </c>
      <c r="B17" s="10" t="n">
        <f aca="false">ROUNDUP(B15/B11,0)</f>
        <v>3</v>
      </c>
    </row>
    <row r="18" customFormat="false" ht="15" hidden="false" customHeight="false" outlineLevel="0" collapsed="false">
      <c r="A18" s="11" t="s">
        <v>16</v>
      </c>
      <c r="B18" s="12" t="n">
        <f aca="false">MAX(B16,B17)</f>
        <v>3</v>
      </c>
    </row>
    <row r="20" customFormat="false" ht="21.75" hidden="false" customHeight="true" outlineLevel="0" collapsed="false">
      <c r="A20" s="3" t="s">
        <v>17</v>
      </c>
      <c r="B20" s="3"/>
      <c r="C20" s="3"/>
      <c r="D20" s="3"/>
    </row>
    <row r="21" customFormat="false" ht="30" hidden="false" customHeight="true" outlineLevel="0" collapsed="false">
      <c r="A21" s="13" t="s">
        <v>18</v>
      </c>
      <c r="B21" s="13" t="s">
        <v>19</v>
      </c>
      <c r="C21" s="13" t="s">
        <v>20</v>
      </c>
      <c r="D21" s="13"/>
    </row>
    <row r="22" customFormat="false" ht="15" hidden="false" customHeight="false" outlineLevel="0" collapsed="false">
      <c r="A22" s="14" t="s">
        <v>21</v>
      </c>
      <c r="B22" s="5" t="n">
        <v>2</v>
      </c>
      <c r="C22" s="10" t="n">
        <f aca="false">ROUNDUP($B$7/100*B22,0)</f>
        <v>36</v>
      </c>
    </row>
    <row r="23" customFormat="false" ht="15" hidden="false" customHeight="false" outlineLevel="0" collapsed="false">
      <c r="A23" s="14" t="s">
        <v>22</v>
      </c>
      <c r="B23" s="5" t="n">
        <v>3</v>
      </c>
      <c r="C23" s="10" t="n">
        <f aca="false">ROUNDUP($B$7/100*B23,0)</f>
        <v>54</v>
      </c>
    </row>
    <row r="24" customFormat="false" ht="15" hidden="false" customHeight="false" outlineLevel="0" collapsed="false">
      <c r="A24" s="14" t="s">
        <v>23</v>
      </c>
      <c r="B24" s="5" t="n">
        <v>2</v>
      </c>
      <c r="C24" s="10" t="n">
        <f aca="false">ROUNDUP($B$7/100*B24,0)</f>
        <v>36</v>
      </c>
    </row>
    <row r="25" customFormat="false" ht="15" hidden="false" customHeight="false" outlineLevel="0" collapsed="false">
      <c r="A25" s="14" t="s">
        <v>24</v>
      </c>
      <c r="B25" s="5" t="n">
        <v>1</v>
      </c>
      <c r="C25" s="10" t="n">
        <f aca="false">ROUNDUP($B$7/100*B25,0)</f>
        <v>18</v>
      </c>
    </row>
    <row r="26" customFormat="false" ht="15" hidden="false" customHeight="false" outlineLevel="0" collapsed="false">
      <c r="A26" s="14" t="s">
        <v>25</v>
      </c>
      <c r="B26" s="5" t="n">
        <v>1</v>
      </c>
      <c r="C26" s="10" t="n">
        <f aca="false">ROUNDUP($B$7/100*B26,0)</f>
        <v>18</v>
      </c>
    </row>
    <row r="27" customFormat="false" ht="15" hidden="false" customHeight="false" outlineLevel="0" collapsed="false">
      <c r="A27" s="4" t="s">
        <v>26</v>
      </c>
      <c r="B27" s="15"/>
      <c r="C27" s="16" t="n">
        <f aca="false">SUM(C22:C26)</f>
        <v>162</v>
      </c>
    </row>
    <row r="29" customFormat="false" ht="21.75" hidden="false" customHeight="true" outlineLevel="0" collapsed="false">
      <c r="A29" s="3" t="s">
        <v>27</v>
      </c>
      <c r="B29" s="3"/>
      <c r="C29" s="3"/>
      <c r="D29" s="3"/>
    </row>
    <row r="30" customFormat="false" ht="30" hidden="false" customHeight="true" outlineLevel="0" collapsed="false">
      <c r="A30" s="13" t="s">
        <v>28</v>
      </c>
      <c r="B30" s="13" t="s">
        <v>29</v>
      </c>
      <c r="C30" s="13" t="s">
        <v>30</v>
      </c>
      <c r="D30" s="13" t="s">
        <v>31</v>
      </c>
    </row>
    <row r="31" customFormat="false" ht="15" hidden="false" customHeight="false" outlineLevel="0" collapsed="false">
      <c r="A31" s="5" t="s">
        <v>32</v>
      </c>
      <c r="B31" s="14" t="s">
        <v>33</v>
      </c>
      <c r="C31" s="5" t="s">
        <v>34</v>
      </c>
      <c r="D31" s="14"/>
    </row>
    <row r="32" customFormat="false" ht="15" hidden="false" customHeight="false" outlineLevel="0" collapsed="false">
      <c r="A32" s="5" t="s">
        <v>35</v>
      </c>
      <c r="B32" s="14" t="s">
        <v>36</v>
      </c>
      <c r="C32" s="5" t="s">
        <v>37</v>
      </c>
      <c r="D32" s="14"/>
    </row>
    <row r="33" customFormat="false" ht="15" hidden="false" customHeight="false" outlineLevel="0" collapsed="false">
      <c r="A33" s="5" t="s">
        <v>38</v>
      </c>
      <c r="B33" s="14" t="s">
        <v>39</v>
      </c>
      <c r="C33" s="5" t="s">
        <v>40</v>
      </c>
      <c r="D33" s="14"/>
    </row>
    <row r="34" customFormat="false" ht="15" hidden="false" customHeight="false" outlineLevel="0" collapsed="false">
      <c r="A34" s="5" t="s">
        <v>41</v>
      </c>
      <c r="B34" s="14" t="s">
        <v>42</v>
      </c>
      <c r="C34" s="5" t="s">
        <v>43</v>
      </c>
      <c r="D34" s="14" t="s">
        <v>44</v>
      </c>
    </row>
    <row r="35" customFormat="false" ht="15" hidden="false" customHeight="false" outlineLevel="0" collapsed="false">
      <c r="A35" s="5" t="s">
        <v>45</v>
      </c>
      <c r="B35" s="14" t="s">
        <v>46</v>
      </c>
      <c r="C35" s="5" t="s">
        <v>34</v>
      </c>
      <c r="D35" s="14"/>
    </row>
    <row r="36" customFormat="false" ht="15" hidden="false" customHeight="false" outlineLevel="0" collapsed="false">
      <c r="A36" s="5" t="s">
        <v>47</v>
      </c>
      <c r="B36" s="14" t="s">
        <v>48</v>
      </c>
      <c r="C36" s="5" t="s">
        <v>43</v>
      </c>
      <c r="D36" s="14"/>
    </row>
    <row r="37" customFormat="false" ht="15" hidden="false" customHeight="false" outlineLevel="0" collapsed="false">
      <c r="A37" s="5" t="s">
        <v>49</v>
      </c>
      <c r="B37" s="14" t="s">
        <v>50</v>
      </c>
      <c r="C37" s="5" t="s">
        <v>37</v>
      </c>
      <c r="D37" s="14"/>
    </row>
    <row r="38" customFormat="false" ht="15" hidden="false" customHeight="false" outlineLevel="0" collapsed="false">
      <c r="A38" s="5" t="s">
        <v>51</v>
      </c>
      <c r="B38" s="14" t="s">
        <v>52</v>
      </c>
      <c r="C38" s="5" t="s">
        <v>34</v>
      </c>
      <c r="D38" s="14" t="s">
        <v>53</v>
      </c>
    </row>
    <row r="39" customFormat="false" ht="15" hidden="false" customHeight="false" outlineLevel="0" collapsed="false">
      <c r="A39" s="17" t="s">
        <v>54</v>
      </c>
      <c r="B39" s="17" t="s">
        <v>54</v>
      </c>
      <c r="C39" s="17" t="s">
        <v>54</v>
      </c>
      <c r="D39" s="17" t="s">
        <v>54</v>
      </c>
    </row>
    <row r="40" customFormat="false" ht="15" hidden="false" customHeight="false" outlineLevel="0" collapsed="false">
      <c r="A40" s="17" t="s">
        <v>54</v>
      </c>
      <c r="B40" s="17" t="s">
        <v>54</v>
      </c>
      <c r="C40" s="17" t="s">
        <v>54</v>
      </c>
      <c r="D40" s="17" t="s">
        <v>54</v>
      </c>
    </row>
    <row r="41" customFormat="false" ht="15" hidden="false" customHeight="false" outlineLevel="0" collapsed="false">
      <c r="A41" s="17" t="s">
        <v>54</v>
      </c>
      <c r="B41" s="17" t="s">
        <v>54</v>
      </c>
      <c r="C41" s="17" t="s">
        <v>54</v>
      </c>
      <c r="D41" s="17" t="s">
        <v>54</v>
      </c>
    </row>
    <row r="42" customFormat="false" ht="15" hidden="false" customHeight="false" outlineLevel="0" collapsed="false">
      <c r="A42" s="17" t="s">
        <v>54</v>
      </c>
      <c r="B42" s="17" t="s">
        <v>54</v>
      </c>
      <c r="C42" s="17" t="s">
        <v>54</v>
      </c>
      <c r="D42" s="17" t="s">
        <v>54</v>
      </c>
    </row>
    <row r="43" customFormat="false" ht="15" hidden="false" customHeight="false" outlineLevel="0" collapsed="false">
      <c r="A43" s="17" t="s">
        <v>54</v>
      </c>
      <c r="B43" s="17" t="s">
        <v>54</v>
      </c>
      <c r="C43" s="17" t="s">
        <v>54</v>
      </c>
      <c r="D43" s="17" t="s">
        <v>54</v>
      </c>
    </row>
    <row r="44" customFormat="false" ht="15" hidden="false" customHeight="false" outlineLevel="0" collapsed="false">
      <c r="A44" s="17" t="s">
        <v>54</v>
      </c>
      <c r="B44" s="17" t="s">
        <v>54</v>
      </c>
      <c r="C44" s="17" t="s">
        <v>54</v>
      </c>
      <c r="D44" s="17" t="s">
        <v>54</v>
      </c>
    </row>
  </sheetData>
  <mergeCells count="6">
    <mergeCell ref="A1:D1"/>
    <mergeCell ref="A2:D2"/>
    <mergeCell ref="A4:D4"/>
    <mergeCell ref="A13:D13"/>
    <mergeCell ref="A20:D20"/>
    <mergeCell ref="A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9" min="7" style="0" width="16"/>
    <col collapsed="false" customWidth="true" hidden="false" outlineLevel="0" max="10" min="10" style="0" width="28"/>
  </cols>
  <sheetData>
    <row r="1" customFormat="false" ht="30" hidden="false" customHeight="true" outlineLevel="0" collapsed="false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1.75" hidden="false" customHeight="true" outlineLevel="0" collapsed="false">
      <c r="A4" s="3" t="s">
        <v>56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4" t="s">
        <v>6</v>
      </c>
      <c r="B5" s="5" t="n">
        <f aca="false">Planification!B7</f>
        <v>1800</v>
      </c>
    </row>
    <row r="6" customFormat="false" ht="15" hidden="false" customHeight="false" outlineLevel="0" collapsed="false">
      <c r="A6" s="4" t="s">
        <v>57</v>
      </c>
      <c r="B6" s="5" t="n">
        <v>1740</v>
      </c>
    </row>
    <row r="7" customFormat="false" ht="15" hidden="false" customHeight="false" outlineLevel="0" collapsed="false">
      <c r="A7" s="11" t="s">
        <v>58</v>
      </c>
      <c r="B7" s="18" t="n">
        <f aca="false">IF(B5=0,"",B6/B5)</f>
        <v>0.966666666666667</v>
      </c>
    </row>
    <row r="8" customFormat="false" ht="15" hidden="false" customHeight="false" outlineLevel="0" collapsed="false">
      <c r="A8" s="4" t="s">
        <v>59</v>
      </c>
      <c r="B8" s="5" t="n">
        <f aca="false">COUNTIF(I12:I71,"A VERIFIER")</f>
        <v>3</v>
      </c>
    </row>
    <row r="10" customFormat="false" ht="21.75" hidden="false" customHeight="true" outlineLevel="0" collapsed="false">
      <c r="A10" s="3" t="s">
        <v>60</v>
      </c>
      <c r="B10" s="3"/>
      <c r="C10" s="3"/>
      <c r="D10" s="3"/>
      <c r="E10" s="3"/>
      <c r="F10" s="3"/>
      <c r="G10" s="3"/>
      <c r="H10" s="3"/>
      <c r="I10" s="3"/>
      <c r="J10" s="3"/>
    </row>
    <row r="11" customFormat="false" ht="30" hidden="false" customHeight="true" outlineLevel="0" collapsed="false">
      <c r="A11" s="13" t="s">
        <v>61</v>
      </c>
      <c r="B11" s="13" t="s">
        <v>62</v>
      </c>
      <c r="C11" s="13" t="s">
        <v>63</v>
      </c>
      <c r="D11" s="13" t="s">
        <v>64</v>
      </c>
      <c r="E11" s="13" t="s">
        <v>65</v>
      </c>
      <c r="F11" s="13" t="s">
        <v>66</v>
      </c>
      <c r="G11" s="13" t="s">
        <v>67</v>
      </c>
      <c r="H11" s="13" t="s">
        <v>68</v>
      </c>
      <c r="I11" s="13" t="s">
        <v>69</v>
      </c>
      <c r="J11" s="13" t="s">
        <v>70</v>
      </c>
    </row>
    <row r="12" customFormat="false" ht="15" hidden="false" customHeight="false" outlineLevel="0" collapsed="false">
      <c r="A12" s="5" t="n">
        <v>1</v>
      </c>
      <c r="B12" s="5" t="s">
        <v>71</v>
      </c>
      <c r="C12" s="5" t="s">
        <v>72</v>
      </c>
      <c r="D12" s="5" t="n">
        <v>1</v>
      </c>
      <c r="E12" s="5" t="n">
        <v>1</v>
      </c>
      <c r="F12" s="5" t="n">
        <f aca="false">IF(OR(D12="",E12=""),"",E12-D12)</f>
        <v>0</v>
      </c>
      <c r="G12" s="5" t="s">
        <v>72</v>
      </c>
      <c r="H12" s="6" t="n">
        <v>46281</v>
      </c>
      <c r="I12" s="19" t="str">
        <f aca="false">IF(C12="","",IF(OR(C12="Non",F12&lt;&gt;0,G12="Non",G12="Partiel"),"A VERIFIER","OK"))</f>
        <v>OK</v>
      </c>
      <c r="J12" s="14" t="s">
        <v>73</v>
      </c>
    </row>
    <row r="13" customFormat="false" ht="15" hidden="false" customHeight="false" outlineLevel="0" collapsed="false">
      <c r="A13" s="5" t="n">
        <v>2</v>
      </c>
      <c r="B13" s="5" t="s">
        <v>74</v>
      </c>
      <c r="C13" s="5" t="s">
        <v>72</v>
      </c>
      <c r="D13" s="5" t="n">
        <v>1</v>
      </c>
      <c r="E13" s="5" t="n">
        <v>1</v>
      </c>
      <c r="F13" s="5" t="n">
        <f aca="false">IF(OR(D13="",E13=""),"",E13-D13)</f>
        <v>0</v>
      </c>
      <c r="G13" s="5" t="s">
        <v>72</v>
      </c>
      <c r="H13" s="6" t="n">
        <v>46281</v>
      </c>
      <c r="I13" s="19" t="str">
        <f aca="false">IF(C13="","",IF(OR(C13="Non",F13&lt;&gt;0,G13="Non",G13="Partiel"),"A VERIFIER","OK"))</f>
        <v>OK</v>
      </c>
      <c r="J13" s="14"/>
    </row>
    <row r="14" customFormat="false" ht="15" hidden="false" customHeight="false" outlineLevel="0" collapsed="false">
      <c r="A14" s="5" t="n">
        <v>3</v>
      </c>
      <c r="B14" s="5" t="s">
        <v>75</v>
      </c>
      <c r="C14" s="5" t="s">
        <v>72</v>
      </c>
      <c r="D14" s="5" t="n">
        <v>1</v>
      </c>
      <c r="E14" s="5" t="n">
        <v>0</v>
      </c>
      <c r="F14" s="5" t="n">
        <f aca="false">IF(OR(D14="",E14=""),"",E14-D14)</f>
        <v>-1</v>
      </c>
      <c r="G14" s="5" t="s">
        <v>76</v>
      </c>
      <c r="H14" s="6" t="n">
        <v>46281</v>
      </c>
      <c r="I14" s="19" t="str">
        <f aca="false">IF(C14="","",IF(OR(C14="Non",F14&lt;&gt;0,G14="Non",G14="Partiel"),"A VERIFIER","OK"))</f>
        <v>A VERIFIER</v>
      </c>
      <c r="J14" s="14" t="s">
        <v>77</v>
      </c>
    </row>
    <row r="15" customFormat="false" ht="15" hidden="false" customHeight="false" outlineLevel="0" collapsed="false">
      <c r="A15" s="5" t="n">
        <v>4</v>
      </c>
      <c r="B15" s="5" t="s">
        <v>78</v>
      </c>
      <c r="C15" s="5" t="s">
        <v>79</v>
      </c>
      <c r="D15" s="5" t="n">
        <v>1</v>
      </c>
      <c r="E15" s="5" t="n">
        <v>0</v>
      </c>
      <c r="F15" s="5" t="n">
        <f aca="false">IF(OR(D15="",E15=""),"",E15-D15)</f>
        <v>-1</v>
      </c>
      <c r="G15" s="5" t="s">
        <v>79</v>
      </c>
      <c r="H15" s="6" t="n">
        <v>46281</v>
      </c>
      <c r="I15" s="19" t="str">
        <f aca="false">IF(C15="","",IF(OR(C15="Non",F15&lt;&gt;0,G15="Non",G15="Partiel"),"A VERIFIER","OK"))</f>
        <v>A VERIFIER</v>
      </c>
      <c r="J15" s="14" t="s">
        <v>80</v>
      </c>
    </row>
    <row r="16" customFormat="false" ht="15" hidden="false" customHeight="false" outlineLevel="0" collapsed="false">
      <c r="A16" s="5" t="n">
        <v>5</v>
      </c>
      <c r="B16" s="5" t="s">
        <v>81</v>
      </c>
      <c r="C16" s="5" t="s">
        <v>72</v>
      </c>
      <c r="D16" s="5" t="n">
        <v>1</v>
      </c>
      <c r="E16" s="5" t="n">
        <v>2</v>
      </c>
      <c r="F16" s="5" t="n">
        <f aca="false">IF(OR(D16="",E16=""),"",E16-D16)</f>
        <v>1</v>
      </c>
      <c r="G16" s="5" t="s">
        <v>72</v>
      </c>
      <c r="H16" s="6" t="n">
        <v>46282</v>
      </c>
      <c r="I16" s="19" t="str">
        <f aca="false">IF(C16="","",IF(OR(C16="Non",F16&lt;&gt;0,G16="Non",G16="Partiel"),"A VERIFIER","OK"))</f>
        <v>A VERIFIER</v>
      </c>
      <c r="J16" s="14" t="s">
        <v>82</v>
      </c>
    </row>
    <row r="17" customFormat="false" ht="15" hidden="false" customHeight="false" outlineLevel="0" collapsed="false">
      <c r="A17" s="5" t="n">
        <v>6</v>
      </c>
      <c r="B17" s="5" t="s">
        <v>83</v>
      </c>
      <c r="C17" s="5" t="s">
        <v>72</v>
      </c>
      <c r="D17" s="5" t="n">
        <v>1</v>
      </c>
      <c r="E17" s="5" t="n">
        <v>1</v>
      </c>
      <c r="F17" s="5" t="n">
        <f aca="false">IF(OR(D17="",E17=""),"",E17-D17)</f>
        <v>0</v>
      </c>
      <c r="G17" s="5" t="s">
        <v>72</v>
      </c>
      <c r="H17" s="6" t="n">
        <v>46282</v>
      </c>
      <c r="I17" s="19" t="str">
        <f aca="false">IF(C17="","",IF(OR(C17="Non",F17&lt;&gt;0,G17="Non",G17="Partiel"),"A VERIFIER","OK"))</f>
        <v>OK</v>
      </c>
      <c r="J17" s="14"/>
    </row>
    <row r="18" customFormat="false" ht="15" hidden="false" customHeight="false" outlineLevel="0" collapsed="false">
      <c r="A18" s="5" t="n">
        <v>7</v>
      </c>
      <c r="B18" s="5"/>
      <c r="C18" s="5"/>
      <c r="D18" s="5"/>
      <c r="E18" s="5"/>
      <c r="F18" s="5" t="str">
        <f aca="false">IF(OR(D18="",E18=""),"",E18-D18)</f>
        <v/>
      </c>
      <c r="G18" s="5"/>
      <c r="H18" s="6"/>
      <c r="I18" s="19" t="str">
        <f aca="false">IF(C18="","",IF(OR(C18="Non",F18&lt;&gt;0,G18="Non",G18="Partiel"),"A VERIFIER","OK"))</f>
        <v/>
      </c>
      <c r="J18" s="14"/>
    </row>
    <row r="19" customFormat="false" ht="15" hidden="false" customHeight="false" outlineLevel="0" collapsed="false">
      <c r="A19" s="5" t="n">
        <v>8</v>
      </c>
      <c r="B19" s="5"/>
      <c r="C19" s="5"/>
      <c r="D19" s="5"/>
      <c r="E19" s="5"/>
      <c r="F19" s="5" t="str">
        <f aca="false">IF(OR(D19="",E19=""),"",E19-D19)</f>
        <v/>
      </c>
      <c r="G19" s="5"/>
      <c r="H19" s="6"/>
      <c r="I19" s="19" t="str">
        <f aca="false">IF(C19="","",IF(OR(C19="Non",F19&lt;&gt;0,G19="Non",G19="Partiel"),"A VERIFIER","OK"))</f>
        <v/>
      </c>
      <c r="J19" s="14"/>
    </row>
    <row r="20" customFormat="false" ht="15" hidden="false" customHeight="false" outlineLevel="0" collapsed="false">
      <c r="A20" s="5" t="n">
        <v>9</v>
      </c>
      <c r="B20" s="5"/>
      <c r="C20" s="5"/>
      <c r="D20" s="5"/>
      <c r="E20" s="5"/>
      <c r="F20" s="5" t="str">
        <f aca="false">IF(OR(D20="",E20=""),"",E20-D20)</f>
        <v/>
      </c>
      <c r="G20" s="5"/>
      <c r="H20" s="6"/>
      <c r="I20" s="19" t="str">
        <f aca="false">IF(C20="","",IF(OR(C20="Non",F20&lt;&gt;0,G20="Non",G20="Partiel"),"A VERIFIER","OK"))</f>
        <v/>
      </c>
      <c r="J20" s="14"/>
    </row>
    <row r="21" customFormat="false" ht="15" hidden="false" customHeight="false" outlineLevel="0" collapsed="false">
      <c r="A21" s="5" t="n">
        <v>10</v>
      </c>
      <c r="B21" s="5"/>
      <c r="C21" s="5"/>
      <c r="D21" s="5"/>
      <c r="E21" s="5"/>
      <c r="F21" s="5" t="str">
        <f aca="false">IF(OR(D21="",E21=""),"",E21-D21)</f>
        <v/>
      </c>
      <c r="G21" s="5"/>
      <c r="H21" s="6"/>
      <c r="I21" s="19" t="str">
        <f aca="false">IF(C21="","",IF(OR(C21="Non",F21&lt;&gt;0,G21="Non",G21="Partiel"),"A VERIFIER","OK"))</f>
        <v/>
      </c>
      <c r="J21" s="14"/>
    </row>
    <row r="22" customFormat="false" ht="15" hidden="false" customHeight="false" outlineLevel="0" collapsed="false">
      <c r="A22" s="5" t="n">
        <v>11</v>
      </c>
      <c r="B22" s="5"/>
      <c r="C22" s="5"/>
      <c r="D22" s="5"/>
      <c r="E22" s="5"/>
      <c r="F22" s="5" t="str">
        <f aca="false">IF(OR(D22="",E22=""),"",E22-D22)</f>
        <v/>
      </c>
      <c r="G22" s="5"/>
      <c r="H22" s="6"/>
      <c r="I22" s="19" t="str">
        <f aca="false">IF(C22="","",IF(OR(C22="Non",F22&lt;&gt;0,G22="Non",G22="Partiel"),"A VERIFIER","OK"))</f>
        <v/>
      </c>
      <c r="J22" s="14"/>
    </row>
    <row r="23" customFormat="false" ht="15" hidden="false" customHeight="false" outlineLevel="0" collapsed="false">
      <c r="A23" s="5" t="n">
        <v>12</v>
      </c>
      <c r="B23" s="5"/>
      <c r="C23" s="5"/>
      <c r="D23" s="5"/>
      <c r="E23" s="5"/>
      <c r="F23" s="5" t="str">
        <f aca="false">IF(OR(D23="",E23=""),"",E23-D23)</f>
        <v/>
      </c>
      <c r="G23" s="5"/>
      <c r="H23" s="6"/>
      <c r="I23" s="19" t="str">
        <f aca="false">IF(C23="","",IF(OR(C23="Non",F23&lt;&gt;0,G23="Non",G23="Partiel"),"A VERIFIER","OK"))</f>
        <v/>
      </c>
      <c r="J23" s="14"/>
    </row>
    <row r="24" customFormat="false" ht="15" hidden="false" customHeight="false" outlineLevel="0" collapsed="false">
      <c r="A24" s="5" t="n">
        <v>13</v>
      </c>
      <c r="B24" s="5"/>
      <c r="C24" s="5"/>
      <c r="D24" s="5"/>
      <c r="E24" s="5"/>
      <c r="F24" s="5" t="str">
        <f aca="false">IF(OR(D24="",E24=""),"",E24-D24)</f>
        <v/>
      </c>
      <c r="G24" s="5"/>
      <c r="H24" s="6"/>
      <c r="I24" s="19" t="str">
        <f aca="false">IF(C24="","",IF(OR(C24="Non",F24&lt;&gt;0,G24="Non",G24="Partiel"),"A VERIFIER","OK"))</f>
        <v/>
      </c>
      <c r="J24" s="14"/>
    </row>
    <row r="25" customFormat="false" ht="15" hidden="false" customHeight="false" outlineLevel="0" collapsed="false">
      <c r="A25" s="5" t="n">
        <v>14</v>
      </c>
      <c r="B25" s="5"/>
      <c r="C25" s="5"/>
      <c r="D25" s="5"/>
      <c r="E25" s="5"/>
      <c r="F25" s="5" t="str">
        <f aca="false">IF(OR(D25="",E25=""),"",E25-D25)</f>
        <v/>
      </c>
      <c r="G25" s="5"/>
      <c r="H25" s="6"/>
      <c r="I25" s="19" t="str">
        <f aca="false">IF(C25="","",IF(OR(C25="Non",F25&lt;&gt;0,G25="Non",G25="Partiel"),"A VERIFIER","OK"))</f>
        <v/>
      </c>
      <c r="J25" s="14"/>
    </row>
    <row r="26" customFormat="false" ht="15" hidden="false" customHeight="false" outlineLevel="0" collapsed="false">
      <c r="A26" s="5" t="n">
        <v>15</v>
      </c>
      <c r="B26" s="5"/>
      <c r="C26" s="5"/>
      <c r="D26" s="5"/>
      <c r="E26" s="5"/>
      <c r="F26" s="5" t="str">
        <f aca="false">IF(OR(D26="",E26=""),"",E26-D26)</f>
        <v/>
      </c>
      <c r="G26" s="5"/>
      <c r="H26" s="6"/>
      <c r="I26" s="19" t="str">
        <f aca="false">IF(C26="","",IF(OR(C26="Non",F26&lt;&gt;0,G26="Non",G26="Partiel"),"A VERIFIER","OK"))</f>
        <v/>
      </c>
      <c r="J26" s="14"/>
    </row>
    <row r="27" customFormat="false" ht="15" hidden="false" customHeight="false" outlineLevel="0" collapsed="false">
      <c r="A27" s="5" t="n">
        <v>16</v>
      </c>
      <c r="B27" s="5"/>
      <c r="C27" s="5"/>
      <c r="D27" s="5"/>
      <c r="E27" s="5"/>
      <c r="F27" s="5" t="str">
        <f aca="false">IF(OR(D27="",E27=""),"",E27-D27)</f>
        <v/>
      </c>
      <c r="G27" s="5"/>
      <c r="H27" s="6"/>
      <c r="I27" s="19" t="str">
        <f aca="false">IF(C27="","",IF(OR(C27="Non",F27&lt;&gt;0,G27="Non",G27="Partiel"),"A VERIFIER","OK"))</f>
        <v/>
      </c>
      <c r="J27" s="14"/>
    </row>
    <row r="28" customFormat="false" ht="15" hidden="false" customHeight="false" outlineLevel="0" collapsed="false">
      <c r="A28" s="5" t="n">
        <v>17</v>
      </c>
      <c r="B28" s="5"/>
      <c r="C28" s="5"/>
      <c r="D28" s="5"/>
      <c r="E28" s="5"/>
      <c r="F28" s="5" t="str">
        <f aca="false">IF(OR(D28="",E28=""),"",E28-D28)</f>
        <v/>
      </c>
      <c r="G28" s="5"/>
      <c r="H28" s="6"/>
      <c r="I28" s="19" t="str">
        <f aca="false">IF(C28="","",IF(OR(C28="Non",F28&lt;&gt;0,G28="Non",G28="Partiel"),"A VERIFIER","OK"))</f>
        <v/>
      </c>
      <c r="J28" s="14"/>
    </row>
    <row r="29" customFormat="false" ht="15" hidden="false" customHeight="false" outlineLevel="0" collapsed="false">
      <c r="A29" s="5" t="n">
        <v>18</v>
      </c>
      <c r="B29" s="5"/>
      <c r="C29" s="5"/>
      <c r="D29" s="5"/>
      <c r="E29" s="5"/>
      <c r="F29" s="5" t="str">
        <f aca="false">IF(OR(D29="",E29=""),"",E29-D29)</f>
        <v/>
      </c>
      <c r="G29" s="5"/>
      <c r="H29" s="6"/>
      <c r="I29" s="19" t="str">
        <f aca="false">IF(C29="","",IF(OR(C29="Non",F29&lt;&gt;0,G29="Non",G29="Partiel"),"A VERIFIER","OK"))</f>
        <v/>
      </c>
      <c r="J29" s="14"/>
    </row>
    <row r="30" customFormat="false" ht="15" hidden="false" customHeight="false" outlineLevel="0" collapsed="false">
      <c r="A30" s="5" t="n">
        <v>19</v>
      </c>
      <c r="B30" s="5"/>
      <c r="C30" s="5"/>
      <c r="D30" s="5"/>
      <c r="E30" s="5"/>
      <c r="F30" s="5" t="str">
        <f aca="false">IF(OR(D30="",E30=""),"",E30-D30)</f>
        <v/>
      </c>
      <c r="G30" s="5"/>
      <c r="H30" s="6"/>
      <c r="I30" s="19" t="str">
        <f aca="false">IF(C30="","",IF(OR(C30="Non",F30&lt;&gt;0,G30="Non",G30="Partiel"),"A VERIFIER","OK"))</f>
        <v/>
      </c>
      <c r="J30" s="14"/>
    </row>
    <row r="31" customFormat="false" ht="15" hidden="false" customHeight="false" outlineLevel="0" collapsed="false">
      <c r="A31" s="5" t="n">
        <v>20</v>
      </c>
      <c r="B31" s="5"/>
      <c r="C31" s="5"/>
      <c r="D31" s="5"/>
      <c r="E31" s="5"/>
      <c r="F31" s="5" t="str">
        <f aca="false">IF(OR(D31="",E31=""),"",E31-D31)</f>
        <v/>
      </c>
      <c r="G31" s="5"/>
      <c r="H31" s="6"/>
      <c r="I31" s="19" t="str">
        <f aca="false">IF(C31="","",IF(OR(C31="Non",F31&lt;&gt;0,G31="Non",G31="Partiel"),"A VERIFIER","OK"))</f>
        <v/>
      </c>
      <c r="J31" s="14"/>
    </row>
    <row r="32" customFormat="false" ht="15" hidden="false" customHeight="false" outlineLevel="0" collapsed="false">
      <c r="A32" s="5" t="n">
        <v>21</v>
      </c>
      <c r="B32" s="5"/>
      <c r="C32" s="5"/>
      <c r="D32" s="5"/>
      <c r="E32" s="5"/>
      <c r="F32" s="5" t="str">
        <f aca="false">IF(OR(D32="",E32=""),"",E32-D32)</f>
        <v/>
      </c>
      <c r="G32" s="5"/>
      <c r="H32" s="6"/>
      <c r="I32" s="19" t="str">
        <f aca="false">IF(C32="","",IF(OR(C32="Non",F32&lt;&gt;0,G32="Non",G32="Partiel"),"A VERIFIER","OK"))</f>
        <v/>
      </c>
      <c r="J32" s="14"/>
    </row>
    <row r="33" customFormat="false" ht="15" hidden="false" customHeight="false" outlineLevel="0" collapsed="false">
      <c r="A33" s="5" t="n">
        <v>22</v>
      </c>
      <c r="B33" s="5"/>
      <c r="C33" s="5"/>
      <c r="D33" s="5"/>
      <c r="E33" s="5"/>
      <c r="F33" s="5" t="str">
        <f aca="false">IF(OR(D33="",E33=""),"",E33-D33)</f>
        <v/>
      </c>
      <c r="G33" s="5"/>
      <c r="H33" s="6"/>
      <c r="I33" s="19" t="str">
        <f aca="false">IF(C33="","",IF(OR(C33="Non",F33&lt;&gt;0,G33="Non",G33="Partiel"),"A VERIFIER","OK"))</f>
        <v/>
      </c>
      <c r="J33" s="14"/>
    </row>
    <row r="34" customFormat="false" ht="15" hidden="false" customHeight="false" outlineLevel="0" collapsed="false">
      <c r="A34" s="5" t="n">
        <v>23</v>
      </c>
      <c r="B34" s="5"/>
      <c r="C34" s="5"/>
      <c r="D34" s="5"/>
      <c r="E34" s="5"/>
      <c r="F34" s="5" t="str">
        <f aca="false">IF(OR(D34="",E34=""),"",E34-D34)</f>
        <v/>
      </c>
      <c r="G34" s="5"/>
      <c r="H34" s="6"/>
      <c r="I34" s="19" t="str">
        <f aca="false">IF(C34="","",IF(OR(C34="Non",F34&lt;&gt;0,G34="Non",G34="Partiel"),"A VERIFIER","OK"))</f>
        <v/>
      </c>
      <c r="J34" s="14"/>
    </row>
    <row r="35" customFormat="false" ht="15" hidden="false" customHeight="false" outlineLevel="0" collapsed="false">
      <c r="A35" s="5" t="n">
        <v>24</v>
      </c>
      <c r="B35" s="5"/>
      <c r="C35" s="5"/>
      <c r="D35" s="5"/>
      <c r="E35" s="5"/>
      <c r="F35" s="5" t="str">
        <f aca="false">IF(OR(D35="",E35=""),"",E35-D35)</f>
        <v/>
      </c>
      <c r="G35" s="5"/>
      <c r="H35" s="6"/>
      <c r="I35" s="19" t="str">
        <f aca="false">IF(C35="","",IF(OR(C35="Non",F35&lt;&gt;0,G35="Non",G35="Partiel"),"A VERIFIER","OK"))</f>
        <v/>
      </c>
      <c r="J35" s="14"/>
    </row>
    <row r="36" customFormat="false" ht="15" hidden="false" customHeight="false" outlineLevel="0" collapsed="false">
      <c r="A36" s="5" t="n">
        <v>25</v>
      </c>
      <c r="B36" s="5"/>
      <c r="C36" s="5"/>
      <c r="D36" s="5"/>
      <c r="E36" s="5"/>
      <c r="F36" s="5" t="str">
        <f aca="false">IF(OR(D36="",E36=""),"",E36-D36)</f>
        <v/>
      </c>
      <c r="G36" s="5"/>
      <c r="H36" s="6"/>
      <c r="I36" s="19" t="str">
        <f aca="false">IF(C36="","",IF(OR(C36="Non",F36&lt;&gt;0,G36="Non",G36="Partiel"),"A VERIFIER","OK"))</f>
        <v/>
      </c>
      <c r="J36" s="14"/>
    </row>
    <row r="37" customFormat="false" ht="15" hidden="false" customHeight="false" outlineLevel="0" collapsed="false">
      <c r="A37" s="5" t="n">
        <v>26</v>
      </c>
      <c r="B37" s="5"/>
      <c r="C37" s="5"/>
      <c r="D37" s="5"/>
      <c r="E37" s="5"/>
      <c r="F37" s="5" t="str">
        <f aca="false">IF(OR(D37="",E37=""),"",E37-D37)</f>
        <v/>
      </c>
      <c r="G37" s="5"/>
      <c r="H37" s="6"/>
      <c r="I37" s="19" t="str">
        <f aca="false">IF(C37="","",IF(OR(C37="Non",F37&lt;&gt;0,G37="Non",G37="Partiel"),"A VERIFIER","OK"))</f>
        <v/>
      </c>
      <c r="J37" s="14"/>
    </row>
    <row r="38" customFormat="false" ht="15" hidden="false" customHeight="false" outlineLevel="0" collapsed="false">
      <c r="A38" s="5" t="n">
        <v>27</v>
      </c>
      <c r="B38" s="5"/>
      <c r="C38" s="5"/>
      <c r="D38" s="5"/>
      <c r="E38" s="5"/>
      <c r="F38" s="5" t="str">
        <f aca="false">IF(OR(D38="",E38=""),"",E38-D38)</f>
        <v/>
      </c>
      <c r="G38" s="5"/>
      <c r="H38" s="6"/>
      <c r="I38" s="19" t="str">
        <f aca="false">IF(C38="","",IF(OR(C38="Non",F38&lt;&gt;0,G38="Non",G38="Partiel"),"A VERIFIER","OK"))</f>
        <v/>
      </c>
      <c r="J38" s="14"/>
    </row>
    <row r="39" customFormat="false" ht="15" hidden="false" customHeight="false" outlineLevel="0" collapsed="false">
      <c r="A39" s="5" t="n">
        <v>28</v>
      </c>
      <c r="B39" s="5"/>
      <c r="C39" s="5"/>
      <c r="D39" s="5"/>
      <c r="E39" s="5"/>
      <c r="F39" s="5" t="str">
        <f aca="false">IF(OR(D39="",E39=""),"",E39-D39)</f>
        <v/>
      </c>
      <c r="G39" s="5"/>
      <c r="H39" s="6"/>
      <c r="I39" s="19" t="str">
        <f aca="false">IF(C39="","",IF(OR(C39="Non",F39&lt;&gt;0,G39="Non",G39="Partiel"),"A VERIFIER","OK"))</f>
        <v/>
      </c>
      <c r="J39" s="14"/>
    </row>
    <row r="40" customFormat="false" ht="15" hidden="false" customHeight="false" outlineLevel="0" collapsed="false">
      <c r="A40" s="5" t="n">
        <v>29</v>
      </c>
      <c r="B40" s="5"/>
      <c r="C40" s="5"/>
      <c r="D40" s="5"/>
      <c r="E40" s="5"/>
      <c r="F40" s="5" t="str">
        <f aca="false">IF(OR(D40="",E40=""),"",E40-D40)</f>
        <v/>
      </c>
      <c r="G40" s="5"/>
      <c r="H40" s="6"/>
      <c r="I40" s="19" t="str">
        <f aca="false">IF(C40="","",IF(OR(C40="Non",F40&lt;&gt;0,G40="Non",G40="Partiel"),"A VERIFIER","OK"))</f>
        <v/>
      </c>
      <c r="J40" s="14"/>
    </row>
    <row r="41" customFormat="false" ht="15" hidden="false" customHeight="false" outlineLevel="0" collapsed="false">
      <c r="A41" s="5" t="n">
        <v>30</v>
      </c>
      <c r="B41" s="5"/>
      <c r="C41" s="5"/>
      <c r="D41" s="5"/>
      <c r="E41" s="5"/>
      <c r="F41" s="5" t="str">
        <f aca="false">IF(OR(D41="",E41=""),"",E41-D41)</f>
        <v/>
      </c>
      <c r="G41" s="5"/>
      <c r="H41" s="6"/>
      <c r="I41" s="19" t="str">
        <f aca="false">IF(C41="","",IF(OR(C41="Non",F41&lt;&gt;0,G41="Non",G41="Partiel"),"A VERIFIER","OK"))</f>
        <v/>
      </c>
      <c r="J41" s="14"/>
    </row>
    <row r="42" customFormat="false" ht="15" hidden="false" customHeight="false" outlineLevel="0" collapsed="false">
      <c r="A42" s="5" t="n">
        <v>31</v>
      </c>
      <c r="B42" s="5"/>
      <c r="C42" s="5"/>
      <c r="D42" s="5"/>
      <c r="E42" s="5"/>
      <c r="F42" s="5" t="str">
        <f aca="false">IF(OR(D42="",E42=""),"",E42-D42)</f>
        <v/>
      </c>
      <c r="G42" s="5"/>
      <c r="H42" s="6"/>
      <c r="I42" s="19" t="str">
        <f aca="false">IF(C42="","",IF(OR(C42="Non",F42&lt;&gt;0,G42="Non",G42="Partiel"),"A VERIFIER","OK"))</f>
        <v/>
      </c>
      <c r="J42" s="14"/>
    </row>
    <row r="43" customFormat="false" ht="15" hidden="false" customHeight="false" outlineLevel="0" collapsed="false">
      <c r="A43" s="5" t="n">
        <v>32</v>
      </c>
      <c r="B43" s="5"/>
      <c r="C43" s="5"/>
      <c r="D43" s="5"/>
      <c r="E43" s="5"/>
      <c r="F43" s="5" t="str">
        <f aca="false">IF(OR(D43="",E43=""),"",E43-D43)</f>
        <v/>
      </c>
      <c r="G43" s="5"/>
      <c r="H43" s="6"/>
      <c r="I43" s="19" t="str">
        <f aca="false">IF(C43="","",IF(OR(C43="Non",F43&lt;&gt;0,G43="Non",G43="Partiel"),"A VERIFIER","OK"))</f>
        <v/>
      </c>
      <c r="J43" s="14"/>
    </row>
    <row r="44" customFormat="false" ht="15" hidden="false" customHeight="false" outlineLevel="0" collapsed="false">
      <c r="A44" s="5" t="n">
        <v>33</v>
      </c>
      <c r="B44" s="5"/>
      <c r="C44" s="5"/>
      <c r="D44" s="5"/>
      <c r="E44" s="5"/>
      <c r="F44" s="5" t="str">
        <f aca="false">IF(OR(D44="",E44=""),"",E44-D44)</f>
        <v/>
      </c>
      <c r="G44" s="5"/>
      <c r="H44" s="6"/>
      <c r="I44" s="19" t="str">
        <f aca="false">IF(C44="","",IF(OR(C44="Non",F44&lt;&gt;0,G44="Non",G44="Partiel"),"A VERIFIER","OK"))</f>
        <v/>
      </c>
      <c r="J44" s="14"/>
    </row>
    <row r="45" customFormat="false" ht="15" hidden="false" customHeight="false" outlineLevel="0" collapsed="false">
      <c r="A45" s="5" t="n">
        <v>34</v>
      </c>
      <c r="B45" s="5"/>
      <c r="C45" s="5"/>
      <c r="D45" s="5"/>
      <c r="E45" s="5"/>
      <c r="F45" s="5" t="str">
        <f aca="false">IF(OR(D45="",E45=""),"",E45-D45)</f>
        <v/>
      </c>
      <c r="G45" s="5"/>
      <c r="H45" s="6"/>
      <c r="I45" s="19" t="str">
        <f aca="false">IF(C45="","",IF(OR(C45="Non",F45&lt;&gt;0,G45="Non",G45="Partiel"),"A VERIFIER","OK"))</f>
        <v/>
      </c>
      <c r="J45" s="14"/>
    </row>
    <row r="46" customFormat="false" ht="15" hidden="false" customHeight="false" outlineLevel="0" collapsed="false">
      <c r="A46" s="5" t="n">
        <v>35</v>
      </c>
      <c r="B46" s="5"/>
      <c r="C46" s="5"/>
      <c r="D46" s="5"/>
      <c r="E46" s="5"/>
      <c r="F46" s="5" t="str">
        <f aca="false">IF(OR(D46="",E46=""),"",E46-D46)</f>
        <v/>
      </c>
      <c r="G46" s="5"/>
      <c r="H46" s="6"/>
      <c r="I46" s="19" t="str">
        <f aca="false">IF(C46="","",IF(OR(C46="Non",F46&lt;&gt;0,G46="Non",G46="Partiel"),"A VERIFIER","OK"))</f>
        <v/>
      </c>
      <c r="J46" s="14"/>
    </row>
    <row r="47" customFormat="false" ht="15" hidden="false" customHeight="false" outlineLevel="0" collapsed="false">
      <c r="A47" s="5" t="n">
        <v>36</v>
      </c>
      <c r="B47" s="5"/>
      <c r="C47" s="5"/>
      <c r="D47" s="5"/>
      <c r="E47" s="5"/>
      <c r="F47" s="5" t="str">
        <f aca="false">IF(OR(D47="",E47=""),"",E47-D47)</f>
        <v/>
      </c>
      <c r="G47" s="5"/>
      <c r="H47" s="6"/>
      <c r="I47" s="19" t="str">
        <f aca="false">IF(C47="","",IF(OR(C47="Non",F47&lt;&gt;0,G47="Non",G47="Partiel"),"A VERIFIER","OK"))</f>
        <v/>
      </c>
      <c r="J47" s="14"/>
    </row>
    <row r="48" customFormat="false" ht="15" hidden="false" customHeight="false" outlineLevel="0" collapsed="false">
      <c r="A48" s="5" t="n">
        <v>37</v>
      </c>
      <c r="B48" s="5"/>
      <c r="C48" s="5"/>
      <c r="D48" s="5"/>
      <c r="E48" s="5"/>
      <c r="F48" s="5" t="str">
        <f aca="false">IF(OR(D48="",E48=""),"",E48-D48)</f>
        <v/>
      </c>
      <c r="G48" s="5"/>
      <c r="H48" s="6"/>
      <c r="I48" s="19" t="str">
        <f aca="false">IF(C48="","",IF(OR(C48="Non",F48&lt;&gt;0,G48="Non",G48="Partiel"),"A VERIFIER","OK"))</f>
        <v/>
      </c>
      <c r="J48" s="14"/>
    </row>
    <row r="49" customFormat="false" ht="15" hidden="false" customHeight="false" outlineLevel="0" collapsed="false">
      <c r="A49" s="5" t="n">
        <v>38</v>
      </c>
      <c r="B49" s="5"/>
      <c r="C49" s="5"/>
      <c r="D49" s="5"/>
      <c r="E49" s="5"/>
      <c r="F49" s="5" t="str">
        <f aca="false">IF(OR(D49="",E49=""),"",E49-D49)</f>
        <v/>
      </c>
      <c r="G49" s="5"/>
      <c r="H49" s="6"/>
      <c r="I49" s="19" t="str">
        <f aca="false">IF(C49="","",IF(OR(C49="Non",F49&lt;&gt;0,G49="Non",G49="Partiel"),"A VERIFIER","OK"))</f>
        <v/>
      </c>
      <c r="J49" s="14"/>
    </row>
    <row r="50" customFormat="false" ht="15" hidden="false" customHeight="false" outlineLevel="0" collapsed="false">
      <c r="A50" s="5" t="n">
        <v>39</v>
      </c>
      <c r="B50" s="5"/>
      <c r="C50" s="5"/>
      <c r="D50" s="5"/>
      <c r="E50" s="5"/>
      <c r="F50" s="5" t="str">
        <f aca="false">IF(OR(D50="",E50=""),"",E50-D50)</f>
        <v/>
      </c>
      <c r="G50" s="5"/>
      <c r="H50" s="6"/>
      <c r="I50" s="19" t="str">
        <f aca="false">IF(C50="","",IF(OR(C50="Non",F50&lt;&gt;0,G50="Non",G50="Partiel"),"A VERIFIER","OK"))</f>
        <v/>
      </c>
      <c r="J50" s="14"/>
    </row>
    <row r="51" customFormat="false" ht="15" hidden="false" customHeight="false" outlineLevel="0" collapsed="false">
      <c r="A51" s="5" t="n">
        <v>40</v>
      </c>
      <c r="B51" s="5"/>
      <c r="C51" s="5"/>
      <c r="D51" s="5"/>
      <c r="E51" s="5"/>
      <c r="F51" s="5" t="str">
        <f aca="false">IF(OR(D51="",E51=""),"",E51-D51)</f>
        <v/>
      </c>
      <c r="G51" s="5"/>
      <c r="H51" s="6"/>
      <c r="I51" s="19" t="str">
        <f aca="false">IF(C51="","",IF(OR(C51="Non",F51&lt;&gt;0,G51="Non",G51="Partiel"),"A VERIFIER","OK"))</f>
        <v/>
      </c>
      <c r="J51" s="14"/>
    </row>
    <row r="52" customFormat="false" ht="15" hidden="false" customHeight="false" outlineLevel="0" collapsed="false">
      <c r="A52" s="5" t="n">
        <v>41</v>
      </c>
      <c r="B52" s="5"/>
      <c r="C52" s="5"/>
      <c r="D52" s="5"/>
      <c r="E52" s="5"/>
      <c r="F52" s="5" t="str">
        <f aca="false">IF(OR(D52="",E52=""),"",E52-D52)</f>
        <v/>
      </c>
      <c r="G52" s="5"/>
      <c r="H52" s="6"/>
      <c r="I52" s="19" t="str">
        <f aca="false">IF(C52="","",IF(OR(C52="Non",F52&lt;&gt;0,G52="Non",G52="Partiel"),"A VERIFIER","OK"))</f>
        <v/>
      </c>
      <c r="J52" s="14"/>
    </row>
    <row r="53" customFormat="false" ht="15" hidden="false" customHeight="false" outlineLevel="0" collapsed="false">
      <c r="A53" s="5" t="n">
        <v>42</v>
      </c>
      <c r="B53" s="5"/>
      <c r="C53" s="5"/>
      <c r="D53" s="5"/>
      <c r="E53" s="5"/>
      <c r="F53" s="5" t="str">
        <f aca="false">IF(OR(D53="",E53=""),"",E53-D53)</f>
        <v/>
      </c>
      <c r="G53" s="5"/>
      <c r="H53" s="6"/>
      <c r="I53" s="19" t="str">
        <f aca="false">IF(C53="","",IF(OR(C53="Non",F53&lt;&gt;0,G53="Non",G53="Partiel"),"A VERIFIER","OK"))</f>
        <v/>
      </c>
      <c r="J53" s="14"/>
    </row>
    <row r="54" customFormat="false" ht="15" hidden="false" customHeight="false" outlineLevel="0" collapsed="false">
      <c r="A54" s="5" t="n">
        <v>43</v>
      </c>
      <c r="B54" s="5"/>
      <c r="C54" s="5"/>
      <c r="D54" s="5"/>
      <c r="E54" s="5"/>
      <c r="F54" s="5" t="str">
        <f aca="false">IF(OR(D54="",E54=""),"",E54-D54)</f>
        <v/>
      </c>
      <c r="G54" s="5"/>
      <c r="H54" s="6"/>
      <c r="I54" s="19" t="str">
        <f aca="false">IF(C54="","",IF(OR(C54="Non",F54&lt;&gt;0,G54="Non",G54="Partiel"),"A VERIFIER","OK"))</f>
        <v/>
      </c>
      <c r="J54" s="14"/>
    </row>
    <row r="55" customFormat="false" ht="15" hidden="false" customHeight="false" outlineLevel="0" collapsed="false">
      <c r="A55" s="5" t="n">
        <v>44</v>
      </c>
      <c r="B55" s="5"/>
      <c r="C55" s="5"/>
      <c r="D55" s="5"/>
      <c r="E55" s="5"/>
      <c r="F55" s="5" t="str">
        <f aca="false">IF(OR(D55="",E55=""),"",E55-D55)</f>
        <v/>
      </c>
      <c r="G55" s="5"/>
      <c r="H55" s="6"/>
      <c r="I55" s="19" t="str">
        <f aca="false">IF(C55="","",IF(OR(C55="Non",F55&lt;&gt;0,G55="Non",G55="Partiel"),"A VERIFIER","OK"))</f>
        <v/>
      </c>
      <c r="J55" s="14"/>
    </row>
    <row r="56" customFormat="false" ht="15" hidden="false" customHeight="false" outlineLevel="0" collapsed="false">
      <c r="A56" s="5" t="n">
        <v>45</v>
      </c>
      <c r="B56" s="5"/>
      <c r="C56" s="5"/>
      <c r="D56" s="5"/>
      <c r="E56" s="5"/>
      <c r="F56" s="5" t="str">
        <f aca="false">IF(OR(D56="",E56=""),"",E56-D56)</f>
        <v/>
      </c>
      <c r="G56" s="5"/>
      <c r="H56" s="6"/>
      <c r="I56" s="19" t="str">
        <f aca="false">IF(C56="","",IF(OR(C56="Non",F56&lt;&gt;0,G56="Non",G56="Partiel"),"A VERIFIER","OK"))</f>
        <v/>
      </c>
      <c r="J56" s="14"/>
    </row>
    <row r="57" customFormat="false" ht="15" hidden="false" customHeight="false" outlineLevel="0" collapsed="false">
      <c r="A57" s="5" t="n">
        <v>46</v>
      </c>
      <c r="B57" s="5"/>
      <c r="C57" s="5"/>
      <c r="D57" s="5"/>
      <c r="E57" s="5"/>
      <c r="F57" s="5" t="str">
        <f aca="false">IF(OR(D57="",E57=""),"",E57-D57)</f>
        <v/>
      </c>
      <c r="G57" s="5"/>
      <c r="H57" s="6"/>
      <c r="I57" s="19" t="str">
        <f aca="false">IF(C57="","",IF(OR(C57="Non",F57&lt;&gt;0,G57="Non",G57="Partiel"),"A VERIFIER","OK"))</f>
        <v/>
      </c>
      <c r="J57" s="14"/>
    </row>
    <row r="58" customFormat="false" ht="15" hidden="false" customHeight="false" outlineLevel="0" collapsed="false">
      <c r="A58" s="5" t="n">
        <v>47</v>
      </c>
      <c r="B58" s="5"/>
      <c r="C58" s="5"/>
      <c r="D58" s="5"/>
      <c r="E58" s="5"/>
      <c r="F58" s="5" t="str">
        <f aca="false">IF(OR(D58="",E58=""),"",E58-D58)</f>
        <v/>
      </c>
      <c r="G58" s="5"/>
      <c r="H58" s="6"/>
      <c r="I58" s="19" t="str">
        <f aca="false">IF(C58="","",IF(OR(C58="Non",F58&lt;&gt;0,G58="Non",G58="Partiel"),"A VERIFIER","OK"))</f>
        <v/>
      </c>
      <c r="J58" s="14"/>
    </row>
    <row r="59" customFormat="false" ht="15" hidden="false" customHeight="false" outlineLevel="0" collapsed="false">
      <c r="A59" s="5" t="n">
        <v>48</v>
      </c>
      <c r="B59" s="5"/>
      <c r="C59" s="5"/>
      <c r="D59" s="5"/>
      <c r="E59" s="5"/>
      <c r="F59" s="5" t="str">
        <f aca="false">IF(OR(D59="",E59=""),"",E59-D59)</f>
        <v/>
      </c>
      <c r="G59" s="5"/>
      <c r="H59" s="6"/>
      <c r="I59" s="19" t="str">
        <f aca="false">IF(C59="","",IF(OR(C59="Non",F59&lt;&gt;0,G59="Non",G59="Partiel"),"A VERIFIER","OK"))</f>
        <v/>
      </c>
      <c r="J59" s="14"/>
    </row>
    <row r="60" customFormat="false" ht="15" hidden="false" customHeight="false" outlineLevel="0" collapsed="false">
      <c r="A60" s="5" t="n">
        <v>49</v>
      </c>
      <c r="B60" s="5"/>
      <c r="C60" s="5"/>
      <c r="D60" s="5"/>
      <c r="E60" s="5"/>
      <c r="F60" s="5" t="str">
        <f aca="false">IF(OR(D60="",E60=""),"",E60-D60)</f>
        <v/>
      </c>
      <c r="G60" s="5"/>
      <c r="H60" s="6"/>
      <c r="I60" s="19" t="str">
        <f aca="false">IF(C60="","",IF(OR(C60="Non",F60&lt;&gt;0,G60="Non",G60="Partiel"),"A VERIFIER","OK"))</f>
        <v/>
      </c>
      <c r="J60" s="14"/>
    </row>
    <row r="61" customFormat="false" ht="15" hidden="false" customHeight="false" outlineLevel="0" collapsed="false">
      <c r="A61" s="5" t="n">
        <v>50</v>
      </c>
      <c r="B61" s="5"/>
      <c r="C61" s="5"/>
      <c r="D61" s="5"/>
      <c r="E61" s="5"/>
      <c r="F61" s="5" t="str">
        <f aca="false">IF(OR(D61="",E61=""),"",E61-D61)</f>
        <v/>
      </c>
      <c r="G61" s="5"/>
      <c r="H61" s="6"/>
      <c r="I61" s="19" t="str">
        <f aca="false">IF(C61="","",IF(OR(C61="Non",F61&lt;&gt;0,G61="Non",G61="Partiel"),"A VERIFIER","OK"))</f>
        <v/>
      </c>
      <c r="J61" s="14"/>
    </row>
    <row r="62" customFormat="false" ht="15" hidden="false" customHeight="false" outlineLevel="0" collapsed="false">
      <c r="A62" s="5" t="n">
        <v>51</v>
      </c>
      <c r="B62" s="5"/>
      <c r="C62" s="5"/>
      <c r="D62" s="5"/>
      <c r="E62" s="5"/>
      <c r="F62" s="5" t="str">
        <f aca="false">IF(OR(D62="",E62=""),"",E62-D62)</f>
        <v/>
      </c>
      <c r="G62" s="5"/>
      <c r="H62" s="6"/>
      <c r="I62" s="19" t="str">
        <f aca="false">IF(C62="","",IF(OR(C62="Non",F62&lt;&gt;0,G62="Non",G62="Partiel"),"A VERIFIER","OK"))</f>
        <v/>
      </c>
      <c r="J62" s="14"/>
    </row>
    <row r="63" customFormat="false" ht="15" hidden="false" customHeight="false" outlineLevel="0" collapsed="false">
      <c r="A63" s="5" t="n">
        <v>52</v>
      </c>
      <c r="B63" s="5"/>
      <c r="C63" s="5"/>
      <c r="D63" s="5"/>
      <c r="E63" s="5"/>
      <c r="F63" s="5" t="str">
        <f aca="false">IF(OR(D63="",E63=""),"",E63-D63)</f>
        <v/>
      </c>
      <c r="G63" s="5"/>
      <c r="H63" s="6"/>
      <c r="I63" s="19" t="str">
        <f aca="false">IF(C63="","",IF(OR(C63="Non",F63&lt;&gt;0,G63="Non",G63="Partiel"),"A VERIFIER","OK"))</f>
        <v/>
      </c>
      <c r="J63" s="14"/>
    </row>
    <row r="64" customFormat="false" ht="15" hidden="false" customHeight="false" outlineLevel="0" collapsed="false">
      <c r="A64" s="5" t="n">
        <v>53</v>
      </c>
      <c r="B64" s="5"/>
      <c r="C64" s="5"/>
      <c r="D64" s="5"/>
      <c r="E64" s="5"/>
      <c r="F64" s="5" t="str">
        <f aca="false">IF(OR(D64="",E64=""),"",E64-D64)</f>
        <v/>
      </c>
      <c r="G64" s="5"/>
      <c r="H64" s="6"/>
      <c r="I64" s="19" t="str">
        <f aca="false">IF(C64="","",IF(OR(C64="Non",F64&lt;&gt;0,G64="Non",G64="Partiel"),"A VERIFIER","OK"))</f>
        <v/>
      </c>
      <c r="J64" s="14"/>
    </row>
    <row r="65" customFormat="false" ht="15" hidden="false" customHeight="false" outlineLevel="0" collapsed="false">
      <c r="A65" s="5" t="n">
        <v>54</v>
      </c>
      <c r="B65" s="5"/>
      <c r="C65" s="5"/>
      <c r="D65" s="5"/>
      <c r="E65" s="5"/>
      <c r="F65" s="5" t="str">
        <f aca="false">IF(OR(D65="",E65=""),"",E65-D65)</f>
        <v/>
      </c>
      <c r="G65" s="5"/>
      <c r="H65" s="6"/>
      <c r="I65" s="19" t="str">
        <f aca="false">IF(C65="","",IF(OR(C65="Non",F65&lt;&gt;0,G65="Non",G65="Partiel"),"A VERIFIER","OK"))</f>
        <v/>
      </c>
      <c r="J65" s="14"/>
    </row>
    <row r="66" customFormat="false" ht="15" hidden="false" customHeight="false" outlineLevel="0" collapsed="false">
      <c r="A66" s="5" t="n">
        <v>55</v>
      </c>
      <c r="B66" s="5"/>
      <c r="C66" s="5"/>
      <c r="D66" s="5"/>
      <c r="E66" s="5"/>
      <c r="F66" s="5" t="str">
        <f aca="false">IF(OR(D66="",E66=""),"",E66-D66)</f>
        <v/>
      </c>
      <c r="G66" s="5"/>
      <c r="H66" s="6"/>
      <c r="I66" s="19" t="str">
        <f aca="false">IF(C66="","",IF(OR(C66="Non",F66&lt;&gt;0,G66="Non",G66="Partiel"),"A VERIFIER","OK"))</f>
        <v/>
      </c>
      <c r="J66" s="14"/>
    </row>
    <row r="67" customFormat="false" ht="15" hidden="false" customHeight="false" outlineLevel="0" collapsed="false">
      <c r="A67" s="5" t="n">
        <v>56</v>
      </c>
      <c r="B67" s="5"/>
      <c r="C67" s="5"/>
      <c r="D67" s="5"/>
      <c r="E67" s="5"/>
      <c r="F67" s="5" t="str">
        <f aca="false">IF(OR(D67="",E67=""),"",E67-D67)</f>
        <v/>
      </c>
      <c r="G67" s="5"/>
      <c r="H67" s="6"/>
      <c r="I67" s="19" t="str">
        <f aca="false">IF(C67="","",IF(OR(C67="Non",F67&lt;&gt;0,G67="Non",G67="Partiel"),"A VERIFIER","OK"))</f>
        <v/>
      </c>
      <c r="J67" s="14"/>
    </row>
    <row r="68" customFormat="false" ht="15" hidden="false" customHeight="false" outlineLevel="0" collapsed="false">
      <c r="A68" s="5" t="n">
        <v>57</v>
      </c>
      <c r="B68" s="5"/>
      <c r="C68" s="5"/>
      <c r="D68" s="5"/>
      <c r="E68" s="5"/>
      <c r="F68" s="5" t="str">
        <f aca="false">IF(OR(D68="",E68=""),"",E68-D68)</f>
        <v/>
      </c>
      <c r="G68" s="5"/>
      <c r="H68" s="6"/>
      <c r="I68" s="19" t="str">
        <f aca="false">IF(C68="","",IF(OR(C68="Non",F68&lt;&gt;0,G68="Non",G68="Partiel"),"A VERIFIER","OK"))</f>
        <v/>
      </c>
      <c r="J68" s="14"/>
    </row>
    <row r="69" customFormat="false" ht="15" hidden="false" customHeight="false" outlineLevel="0" collapsed="false">
      <c r="A69" s="5" t="n">
        <v>58</v>
      </c>
      <c r="B69" s="5"/>
      <c r="C69" s="5"/>
      <c r="D69" s="5"/>
      <c r="E69" s="5"/>
      <c r="F69" s="5" t="str">
        <f aca="false">IF(OR(D69="",E69=""),"",E69-D69)</f>
        <v/>
      </c>
      <c r="G69" s="5"/>
      <c r="H69" s="6"/>
      <c r="I69" s="19" t="str">
        <f aca="false">IF(C69="","",IF(OR(C69="Non",F69&lt;&gt;0,G69="Non",G69="Partiel"),"A VERIFIER","OK"))</f>
        <v/>
      </c>
      <c r="J69" s="14"/>
    </row>
    <row r="70" customFormat="false" ht="15" hidden="false" customHeight="false" outlineLevel="0" collapsed="false">
      <c r="A70" s="5" t="n">
        <v>59</v>
      </c>
      <c r="B70" s="5"/>
      <c r="C70" s="5"/>
      <c r="D70" s="5"/>
      <c r="E70" s="5"/>
      <c r="F70" s="5" t="str">
        <f aca="false">IF(OR(D70="",E70=""),"",E70-D70)</f>
        <v/>
      </c>
      <c r="G70" s="5"/>
      <c r="H70" s="6"/>
      <c r="I70" s="19" t="str">
        <f aca="false">IF(C70="","",IF(OR(C70="Non",F70&lt;&gt;0,G70="Non",G70="Partiel"),"A VERIFIER","OK"))</f>
        <v/>
      </c>
      <c r="J70" s="14"/>
    </row>
    <row r="71" customFormat="false" ht="15" hidden="false" customHeight="false" outlineLevel="0" collapsed="false">
      <c r="A71" s="5" t="n">
        <v>60</v>
      </c>
      <c r="B71" s="5"/>
      <c r="C71" s="5"/>
      <c r="D71" s="5"/>
      <c r="E71" s="5"/>
      <c r="F71" s="5" t="str">
        <f aca="false">IF(OR(D71="",E71=""),"",E71-D71)</f>
        <v/>
      </c>
      <c r="G71" s="5"/>
      <c r="H71" s="6"/>
      <c r="I71" s="19" t="str">
        <f aca="false">IF(C71="","",IF(OR(C71="Non",F71&lt;&gt;0,G71="Non",G71="Partiel"),"A VERIFIER","OK"))</f>
        <v/>
      </c>
      <c r="J71" s="14"/>
    </row>
    <row r="73" customFormat="false" ht="27.75" hidden="false" customHeight="true" outlineLevel="0" collapsed="false">
      <c r="A73" s="20" t="s">
        <v>84</v>
      </c>
      <c r="B73" s="20"/>
      <c r="C73" s="20"/>
      <c r="D73" s="20"/>
      <c r="E73" s="20"/>
      <c r="F73" s="20"/>
      <c r="G73" s="20"/>
      <c r="H73" s="20"/>
      <c r="I73" s="20"/>
      <c r="J73" s="20"/>
    </row>
  </sheetData>
  <mergeCells count="5">
    <mergeCell ref="A1:J1"/>
    <mergeCell ref="A2:J2"/>
    <mergeCell ref="A4:J4"/>
    <mergeCell ref="A10:J10"/>
    <mergeCell ref="A73:J73"/>
  </mergeCells>
  <conditionalFormatting sqref="I12:I71">
    <cfRule type="cellIs" priority="2" operator="equal" aboveAverage="0" equalAverage="0" bottom="0" percent="0" rank="0" text="" dxfId="0">
      <formula>"A VERIFIER"</formula>
    </cfRule>
    <cfRule type="cellIs" priority="3" operator="equal" aboveAverage="0" equalAverage="0" bottom="0" percent="0" rank="0" text="" dxfId="1">
      <formula>"OK"</formula>
    </cfRule>
  </conditionalFormatting>
  <dataValidations count="2">
    <dataValidation allowBlank="true" errorStyle="stop" operator="between" showDropDown="false" showErrorMessage="false" showInputMessage="false" sqref="C12:C71" type="list">
      <formula1>"Oui,Non"</formula1>
      <formula2>0</formula2>
    </dataValidation>
    <dataValidation allowBlank="true" errorStyle="stop" operator="between" showDropDown="false" showErrorMessage="false" showInputMessage="false" sqref="G12:G71" type="list">
      <formula1>"Oui,Non,Partiel"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2026-08-31T20:54:52Z</dcterms:created>
  <dc:creator>openpyxl</dc:creator>
  <dc:description/>
  <dc:language>fr-FR</dc:language>
  <cp:lastModifiedBy/>
  <dcterms:modified xsi:type="dcterms:W3CDTF">2026-08-31T20:54:52Z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