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ateur Fret" sheetId="1" state="visible" r:id="rId3"/>
    <sheet name="Aide-decision Incoter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<sst xmlns="http://schemas.openxmlformats.org/spreadsheetml/2006/main" count="82" uniqueCount="58">
  <si>
    <t xml:space="preserve">COMPARATEUR FRET INTERNATIONAL &amp; INCOTERMS</t>
  </si>
  <si>
    <t xml:space="preserve">Formation en Supply Chain Management Humanitaire · Module 06 · BK-BOOST Ltd.</t>
  </si>
  <si>
    <t xml:space="preserve">Shipment ID</t>
  </si>
  <si>
    <t xml:space="preserve">Mode de transport</t>
  </si>
  <si>
    <t xml:space="preserve">Poids (kg)</t>
  </si>
  <si>
    <t xml:space="preserve">Volume (m3)</t>
  </si>
  <si>
    <t xml:space="preserve">Tarif au kg (USD)</t>
  </si>
  <si>
    <t xml:space="preserve">Frais fixes (USD)</t>
  </si>
  <si>
    <t xml:space="preserve">Delai transit (jours)</t>
  </si>
  <si>
    <t xml:space="preserve">Cout transport (USD)</t>
  </si>
  <si>
    <t xml:space="preserve">Droits/taxes estimes (USD)</t>
  </si>
  <si>
    <t xml:space="preserve">Assurance (USD)</t>
  </si>
  <si>
    <t xml:space="preserve">Cout total livre (USD)</t>
  </si>
  <si>
    <t xml:space="preserve">Cout par kg livre (USD)</t>
  </si>
  <si>
    <t xml:space="preserve">SSD-2026-007</t>
  </si>
  <si>
    <t xml:space="preserve">Aerien (Dubai-Entebbe-Juba)</t>
  </si>
  <si>
    <t xml:space="preserve">Maritime + routier (Dubai-Mombasa-Juba)</t>
  </si>
  <si>
    <t xml:space="preserve">A COMPLETER</t>
  </si>
  <si>
    <t xml:space="preserve">Cout transport = Poids x Tarif au kg + Frais fixes. Cout total livre = Cout transport + Droits/taxes + Assurance. Integrez toujours un delai realiste (y compris risques de blocage frontalier signales par le transitaire), pas seulement le delai annonce sur le devis.</t>
  </si>
  <si>
    <t xml:space="preserve">AIDE-DECISION INCOTERMS 2020</t>
  </si>
  <si>
    <t xml:space="preserve">Incoterm</t>
  </si>
  <si>
    <t xml:space="preserve">Point de transfert du risque</t>
  </si>
  <si>
    <t xml:space="preserve">Dedouanement export</t>
  </si>
  <si>
    <t xml:space="preserve">Dedouanement import</t>
  </si>
  <si>
    <t xml:space="preserve">Recommande si...</t>
  </si>
  <si>
    <t xml:space="preserve">EXW</t>
  </si>
  <si>
    <t xml:space="preserve">Des la sortie de l'entrepot du fournisseur</t>
  </si>
  <si>
    <t xml:space="preserve">Acheteur</t>
  </si>
  <si>
    <t xml:space="preserve">Vous avez deja un transitaire fiable des le pays d'origine (rare) - sinon a eviter</t>
  </si>
  <si>
    <t xml:space="preserve">FCA</t>
  </si>
  <si>
    <t xml:space="preserve">A la remise au transporteur designe par l'acheteur</t>
  </si>
  <si>
    <t xml:space="preserve">Vendeur</t>
  </si>
  <si>
    <t xml:space="preserve">Compromis le plus courant : le fournisseur gere l'export, vous gardez la main sur le transport principal</t>
  </si>
  <si>
    <t xml:space="preserve">FOB</t>
  </si>
  <si>
    <t xml:space="preserve">Au chargement a bord du navire (maritime uniquement)</t>
  </si>
  <si>
    <t xml:space="preserve">Fret maritime classique, mais verifiez que vous avez un transitaire pour le dedouanement import</t>
  </si>
  <si>
    <t xml:space="preserve">CFR</t>
  </si>
  <si>
    <t xml:space="preserve">Identique a FOB, mais vendeur paie le fret jusqu'au port de destination</t>
  </si>
  <si>
    <t xml:space="preserve">Le vendeur finance le transport principal ; utile si vous negociez mal les taux de fret</t>
  </si>
  <si>
    <t xml:space="preserve">CIF</t>
  </si>
  <si>
    <t xml:space="preserve">Identique a FOB/CFR, vendeur souscrit aussi l'assurance</t>
  </si>
  <si>
    <t xml:space="preserve">Verifiez toujours le niveau reel de couverture de l'assurance souscrite par le vendeur</t>
  </si>
  <si>
    <t xml:space="preserve">CPT</t>
  </si>
  <si>
    <t xml:space="preserve">A la remise au premier transporteur (tous modes)</t>
  </si>
  <si>
    <t xml:space="preserve">Version tous modes de CFR, pertinente en fret aerien ou multimodal</t>
  </si>
  <si>
    <t xml:space="preserve">CIP</t>
  </si>
  <si>
    <t xml:space="preserve">A la remise au premier transporteur, avec assurance (tous modes)</t>
  </si>
  <si>
    <t xml:space="preserve">Version tous modes de CIF, pertinente en fret aerien ou multimodal</t>
  </si>
  <si>
    <t xml:space="preserve">DAP</t>
  </si>
  <si>
    <t xml:space="preserve">A l'arrivee au lieu convenu, avant dechargement</t>
  </si>
  <si>
    <t xml:space="preserve">Le vendeur porte le transport jusqu'a votre porte, mais vous restez responsable du dedouanement import</t>
  </si>
  <si>
    <t xml:space="preserve">DPU</t>
  </si>
  <si>
    <t xml:space="preserve">A l'arrivee au lieu convenu, apres dechargement</t>
  </si>
  <si>
    <t xml:space="preserve">Utile quand le dechargement sur site est complexe (materiel lourd)</t>
  </si>
  <si>
    <t xml:space="preserve">DDP</t>
  </si>
  <si>
    <t xml:space="preserve">A l'arrivee, marchandise dedouanee et prete a l'emploi</t>
  </si>
  <si>
    <t xml:space="preserve">Le plus confortable, mais verifiez que le vendeur gere reellement le dedouanement humanitaire local</t>
  </si>
  <si>
    <t xml:space="preserve">Plus l'Incoterm est situe a gauche (EXW), plus l'acheteur porte de responsabilites des le pays d'origine. Plus il est situe a droite (DDP), plus le vendeur les porte - mais verifiez toujours sa capacite reelle a gerer un dedouanement humanitaire dans votre pays de destination.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</si>
</sst>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n">
        <v>3200</v>
      </c>
      <c r="D5" s="4" t="n">
        <v>9</v>
      </c>
      <c r="E5" s="4" t="n">
        <v>4.8</v>
      </c>
      <c r="F5" s="4" t="n">
        <v>650</v>
      </c>
      <c r="G5" s="4" t="n">
        <v>6</v>
      </c>
      <c r="H5" s="4" t="n">
        <f aca="false">IF(C5="","",C5*E5+F5)</f>
        <v>16010</v>
      </c>
      <c r="I5" s="4" t="n">
        <v>1200</v>
      </c>
      <c r="J5" s="4" t="n">
        <v>180</v>
      </c>
      <c r="K5" s="4" t="n">
        <f aca="false">IF(C5="","",H5+I5+J5)</f>
        <v>17390</v>
      </c>
      <c r="L5" s="4" t="n">
        <f aca="false">IF(OR(C5="",C5=0),"",K5/C5)</f>
        <v>5.434375</v>
      </c>
    </row>
    <row r="6" customFormat="false" ht="15" hidden="false" customHeight="false" outlineLevel="0" collapsed="false">
      <c r="A6" s="4" t="s">
        <v>14</v>
      </c>
      <c r="B6" s="4" t="s">
        <v>16</v>
      </c>
      <c r="C6" s="4" t="n">
        <v>3200</v>
      </c>
      <c r="D6" s="4" t="n">
        <v>9</v>
      </c>
      <c r="E6" s="4" t="n">
        <v>0.95</v>
      </c>
      <c r="F6" s="4" t="n">
        <v>1400</v>
      </c>
      <c r="G6" s="4" t="n">
        <v>37</v>
      </c>
      <c r="H6" s="4" t="n">
        <f aca="false">IF(C6="","",C6*E6+F6)</f>
        <v>4440</v>
      </c>
      <c r="I6" s="4" t="n">
        <v>1200</v>
      </c>
      <c r="J6" s="4" t="n">
        <v>180</v>
      </c>
      <c r="K6" s="4" t="n">
        <f aca="false">IF(C6="","",H6+I6+J6)</f>
        <v>5820</v>
      </c>
      <c r="L6" s="4" t="n">
        <f aca="false">IF(OR(C6="",C6=0),"",K6/C6)</f>
        <v>1.81875</v>
      </c>
    </row>
    <row r="7" customFormat="false" ht="15" hidden="false" customHeight="false" outlineLevel="0" collapsed="false">
      <c r="A7" s="4" t="s">
        <v>17</v>
      </c>
      <c r="B7" s="4"/>
      <c r="C7" s="4"/>
      <c r="D7" s="4"/>
      <c r="E7" s="4"/>
      <c r="F7" s="4"/>
      <c r="G7" s="4"/>
      <c r="H7" s="4" t="str">
        <f aca="false">IF(C7="","",C7*E7+F7)</f>
        <v/>
      </c>
      <c r="I7" s="4"/>
      <c r="J7" s="4"/>
      <c r="K7" s="4" t="str">
        <f aca="false">IF(C7="","",H7+I7+J7)</f>
        <v/>
      </c>
      <c r="L7" s="4" t="str">
        <f aca="false">IF(OR(C7="",C7=0),"",K7/C7)</f>
        <v/>
      </c>
    </row>
    <row r="8" customFormat="false" ht="15" hidden="false" customHeight="false" outlineLevel="0" collapsed="false">
      <c r="A8" s="4" t="s">
        <v>17</v>
      </c>
      <c r="B8" s="4"/>
      <c r="C8" s="4"/>
      <c r="D8" s="4"/>
      <c r="E8" s="4"/>
      <c r="F8" s="4"/>
      <c r="G8" s="4"/>
      <c r="H8" s="4" t="str">
        <f aca="false">IF(C8="","",C8*E8+F8)</f>
        <v/>
      </c>
      <c r="I8" s="4"/>
      <c r="J8" s="4"/>
      <c r="K8" s="4" t="str">
        <f aca="false">IF(C8="","",H8+I8+J8)</f>
        <v/>
      </c>
      <c r="L8" s="4" t="str">
        <f aca="false">IF(OR(C8="",C8=0),"",K8/C8)</f>
        <v/>
      </c>
    </row>
    <row r="9" customFormat="false" ht="15" hidden="false" customHeight="false" outlineLevel="0" collapsed="false">
      <c r="A9" s="4" t="s">
        <v>17</v>
      </c>
      <c r="B9" s="4"/>
      <c r="C9" s="4"/>
      <c r="D9" s="4"/>
      <c r="E9" s="4"/>
      <c r="F9" s="4"/>
      <c r="G9" s="4"/>
      <c r="H9" s="4" t="str">
        <f aca="false">IF(C9="","",C9*E9+F9)</f>
        <v/>
      </c>
      <c r="I9" s="4"/>
      <c r="J9" s="4"/>
      <c r="K9" s="4" t="str">
        <f aca="false">IF(C9="","",H9+I9+J9)</f>
        <v/>
      </c>
      <c r="L9" s="4" t="str">
        <f aca="false">IF(OR(C9="",C9=0),"",K9/C9)</f>
        <v/>
      </c>
    </row>
    <row r="10" customFormat="false" ht="15" hidden="false" customHeight="false" outlineLevel="0" collapsed="false">
      <c r="A10" s="4" t="s">
        <v>17</v>
      </c>
      <c r="B10" s="4"/>
      <c r="C10" s="4"/>
      <c r="D10" s="4"/>
      <c r="E10" s="4"/>
      <c r="F10" s="4"/>
      <c r="G10" s="4"/>
      <c r="H10" s="4" t="str">
        <f aca="false">IF(C10="","",C10*E10+F10)</f>
        <v/>
      </c>
      <c r="I10" s="4"/>
      <c r="J10" s="4"/>
      <c r="K10" s="4" t="str">
        <f aca="false">IF(C10="","",H10+I10+J10)</f>
        <v/>
      </c>
      <c r="L10" s="4" t="str">
        <f aca="false">IF(OR(C10="",C10=0),"",K10/C10)</f>
        <v/>
      </c>
    </row>
    <row r="11" customFormat="false" ht="15" hidden="false" customHeight="false" outlineLevel="0" collapsed="false">
      <c r="A11" s="4" t="s">
        <v>17</v>
      </c>
      <c r="B11" s="4"/>
      <c r="C11" s="4"/>
      <c r="D11" s="4"/>
      <c r="E11" s="4"/>
      <c r="F11" s="4"/>
      <c r="G11" s="4"/>
      <c r="H11" s="4" t="str">
        <f aca="false">IF(C11="","",C11*E11+F11)</f>
        <v/>
      </c>
      <c r="I11" s="4"/>
      <c r="J11" s="4"/>
      <c r="K11" s="4" t="str">
        <f aca="false">IF(C11="","",H11+I11+J11)</f>
        <v/>
      </c>
      <c r="L11" s="4" t="str">
        <f aca="false">IF(OR(C11="",C11=0),"",K11/C11)</f>
        <v/>
      </c>
    </row>
    <row r="13" customFormat="false" ht="42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</sheetData>
  <mergeCells count="3">
    <mergeCell ref="A1:L1"/>
    <mergeCell ref="A2:L2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44"/>
  </cols>
  <sheetData>
    <row r="1" customFormat="false" ht="21.75" hidden="false" customHeight="true" outlineLevel="0" collapsed="false">
      <c r="A1" s="1" t="s">
        <v>19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customFormat="false" ht="30" hidden="false" customHeight="true" outlineLevel="0" collapsed="false">
      <c r="A5" s="6" t="s">
        <v>25</v>
      </c>
      <c r="B5" s="6" t="s">
        <v>26</v>
      </c>
      <c r="C5" s="6" t="s">
        <v>27</v>
      </c>
      <c r="D5" s="6" t="s">
        <v>27</v>
      </c>
      <c r="E5" s="6" t="s">
        <v>28</v>
      </c>
    </row>
    <row r="6" customFormat="false" ht="30" hidden="false" customHeight="true" outlineLevel="0" collapsed="false">
      <c r="A6" s="6" t="s">
        <v>29</v>
      </c>
      <c r="B6" s="6" t="s">
        <v>30</v>
      </c>
      <c r="C6" s="6" t="s">
        <v>31</v>
      </c>
      <c r="D6" s="6" t="s">
        <v>27</v>
      </c>
      <c r="E6" s="6" t="s">
        <v>32</v>
      </c>
    </row>
    <row r="7" customFormat="false" ht="30" hidden="false" customHeight="true" outlineLevel="0" collapsed="false">
      <c r="A7" s="6" t="s">
        <v>33</v>
      </c>
      <c r="B7" s="6" t="s">
        <v>34</v>
      </c>
      <c r="C7" s="6" t="s">
        <v>31</v>
      </c>
      <c r="D7" s="6" t="s">
        <v>27</v>
      </c>
      <c r="E7" s="6" t="s">
        <v>35</v>
      </c>
    </row>
    <row r="8" customFormat="false" ht="30" hidden="false" customHeight="true" outlineLevel="0" collapsed="false">
      <c r="A8" s="6" t="s">
        <v>36</v>
      </c>
      <c r="B8" s="6" t="s">
        <v>37</v>
      </c>
      <c r="C8" s="6" t="s">
        <v>31</v>
      </c>
      <c r="D8" s="6" t="s">
        <v>27</v>
      </c>
      <c r="E8" s="6" t="s">
        <v>38</v>
      </c>
    </row>
    <row r="9" customFormat="false" ht="30" hidden="false" customHeight="true" outlineLevel="0" collapsed="false">
      <c r="A9" s="6" t="s">
        <v>39</v>
      </c>
      <c r="B9" s="6" t="s">
        <v>40</v>
      </c>
      <c r="C9" s="6" t="s">
        <v>31</v>
      </c>
      <c r="D9" s="6" t="s">
        <v>27</v>
      </c>
      <c r="E9" s="6" t="s">
        <v>41</v>
      </c>
    </row>
    <row r="10" customFormat="false" ht="30" hidden="false" customHeight="true" outlineLevel="0" collapsed="false">
      <c r="A10" s="6" t="s">
        <v>42</v>
      </c>
      <c r="B10" s="6" t="s">
        <v>43</v>
      </c>
      <c r="C10" s="6" t="s">
        <v>31</v>
      </c>
      <c r="D10" s="6" t="s">
        <v>27</v>
      </c>
      <c r="E10" s="6" t="s">
        <v>44</v>
      </c>
    </row>
    <row r="11" customFormat="false" ht="30" hidden="false" customHeight="true" outlineLevel="0" collapsed="false">
      <c r="A11" s="6" t="s">
        <v>45</v>
      </c>
      <c r="B11" s="6" t="s">
        <v>46</v>
      </c>
      <c r="C11" s="6" t="s">
        <v>31</v>
      </c>
      <c r="D11" s="6" t="s">
        <v>27</v>
      </c>
      <c r="E11" s="6" t="s">
        <v>47</v>
      </c>
    </row>
    <row r="12" customFormat="false" ht="30" hidden="false" customHeight="true" outlineLevel="0" collapsed="false">
      <c r="A12" s="6" t="s">
        <v>48</v>
      </c>
      <c r="B12" s="6" t="s">
        <v>49</v>
      </c>
      <c r="C12" s="6" t="s">
        <v>31</v>
      </c>
      <c r="D12" s="6" t="s">
        <v>27</v>
      </c>
      <c r="E12" s="6" t="s">
        <v>50</v>
      </c>
    </row>
    <row r="13" customFormat="false" ht="30" hidden="false" customHeight="true" outlineLevel="0" collapsed="false">
      <c r="A13" s="6" t="s">
        <v>51</v>
      </c>
      <c r="B13" s="6" t="s">
        <v>52</v>
      </c>
      <c r="C13" s="6" t="s">
        <v>31</v>
      </c>
      <c r="D13" s="6" t="s">
        <v>27</v>
      </c>
      <c r="E13" s="6" t="s">
        <v>53</v>
      </c>
    </row>
    <row r="14" customFormat="false" ht="30" hidden="false" customHeight="true" outlineLevel="0" collapsed="false">
      <c r="A14" s="6" t="s">
        <v>54</v>
      </c>
      <c r="B14" s="6" t="s">
        <v>55</v>
      </c>
      <c r="C14" s="6" t="s">
        <v>31</v>
      </c>
      <c r="D14" s="6" t="s">
        <v>31</v>
      </c>
      <c r="E14" s="6" t="s">
        <v>56</v>
      </c>
    </row>
    <row r="16" customFormat="false" ht="42" hidden="false" customHeight="true" outlineLevel="0" collapsed="false">
      <c r="A16" s="5" t="s">
        <v>57</v>
      </c>
      <c r="B16" s="5"/>
      <c r="C16" s="5"/>
      <c r="D16" s="5"/>
      <c r="E16" s="5"/>
    </row>
  </sheetData>
  <mergeCells count="3">
    <mergeCell ref="A1:E1"/>
    <mergeCell ref="A2:E2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2026-08-31T20:55:12Z</dcterms:created>
  <dc:creator>openpyxl</dc:creator>
  <dc:description/>
  <dc:language>fr-FR</dc:language>
  <cp:lastModifiedBy/>
  <dcterms:modified xsi:type="dcterms:W3CDTF">2026-08-31T20:55:12Z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