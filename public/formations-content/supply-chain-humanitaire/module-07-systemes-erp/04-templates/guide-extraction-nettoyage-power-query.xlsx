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onnées brutes" sheetId="1" state="visible" r:id="rId3"/>
    <sheet name="Données nettoyées" sheetId="2" state="visible" r:id="rId4"/>
    <sheet name="Notes de transforma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<sst xmlns="http://schemas.openxmlformats.org/spreadsheetml/2006/main" count="160" uniqueCount="102">
  <si>
    <t xml:space="preserve">EXPORT ERP BRUT — DONNÉES D'ACHAT (EXEMPLE PÉDAGOGIQUE)</t>
  </si>
  <si>
    <t xml:space="preserve">Module 07 — Systèmes ERP Humanitaires — BK-BOOST Ltd. — Données fictives, volontairement sales (doublons, dates incohérentes, devises mélangées) pour l'exercice de nettoyage Power Query.</t>
  </si>
  <si>
    <t xml:space="preserve">N° PO</t>
  </si>
  <si>
    <t xml:space="preserve">Fournisseur</t>
  </si>
  <si>
    <t xml:space="preserve">Article</t>
  </si>
  <si>
    <t xml:space="preserve">Date commande (saisie brute)</t>
  </si>
  <si>
    <t xml:space="preserve">Montant (saisi brut)</t>
  </si>
  <si>
    <t xml:space="preserve">Devise (saisie brute)</t>
  </si>
  <si>
    <t xml:space="preserve">Statut</t>
  </si>
  <si>
    <t xml:space="preserve">PO-2025-011</t>
  </si>
  <si>
    <t xml:space="preserve">Kivu Motors SARL</t>
  </si>
  <si>
    <t xml:space="preserve">Pièces détachées véhicule</t>
  </si>
  <si>
    <t xml:space="preserve">12/03/2025</t>
  </si>
  <si>
    <t xml:space="preserve">USD</t>
  </si>
  <si>
    <t xml:space="preserve">Livré</t>
  </si>
  <si>
    <t xml:space="preserve">PO-2025-012</t>
  </si>
  <si>
    <t xml:space="preserve">AfriMed Supplies</t>
  </si>
  <si>
    <t xml:space="preserve">Kits médicaux</t>
  </si>
  <si>
    <t xml:space="preserve">2025-03-14</t>
  </si>
  <si>
    <t xml:space="preserve">US$</t>
  </si>
  <si>
    <t xml:space="preserve">PO-2025-013</t>
  </si>
  <si>
    <t xml:space="preserve">Bunia Fuel Co.</t>
  </si>
  <si>
    <t xml:space="preserve">Carburant diesel</t>
  </si>
  <si>
    <t xml:space="preserve">15/03/2025</t>
  </si>
  <si>
    <t xml:space="preserve">CDF</t>
  </si>
  <si>
    <t xml:space="preserve">PO-2025-014</t>
  </si>
  <si>
    <t xml:space="preserve">Pneus 4x4</t>
  </si>
  <si>
    <t xml:space="preserve">18/03/2025</t>
  </si>
  <si>
    <t xml:space="preserve">En cours</t>
  </si>
  <si>
    <t xml:space="preserve">PO-2025-015</t>
  </si>
  <si>
    <t xml:space="preserve">Uganda Freight Ltd</t>
  </si>
  <si>
    <t xml:space="preserve">Transport fret Kampala-Bunia</t>
  </si>
  <si>
    <t xml:space="preserve">20/03/2025</t>
  </si>
  <si>
    <t xml:space="preserve">EUR</t>
  </si>
  <si>
    <t xml:space="preserve">PO-2025-016</t>
  </si>
  <si>
    <t xml:space="preserve">03/22/2025</t>
  </si>
  <si>
    <t xml:space="preserve">Dollars</t>
  </si>
  <si>
    <t xml:space="preserve">PO-2025-017</t>
  </si>
  <si>
    <t xml:space="preserve">Carburant essence</t>
  </si>
  <si>
    <t xml:space="preserve">2025-03-25</t>
  </si>
  <si>
    <t xml:space="preserve">PO-2025-018</t>
  </si>
  <si>
    <t xml:space="preserve">Batteries véhicule</t>
  </si>
  <si>
    <t xml:space="preserve">05/04/2025</t>
  </si>
  <si>
    <t xml:space="preserve">$</t>
  </si>
  <si>
    <t xml:space="preserve">14/04/2025</t>
  </si>
  <si>
    <t xml:space="preserve">PO-2025-019</t>
  </si>
  <si>
    <t xml:space="preserve">27/03/2025</t>
  </si>
  <si>
    <t xml:space="preserve">PO-2025-020</t>
  </si>
  <si>
    <t xml:space="preserve">Consommables labo</t>
  </si>
  <si>
    <t xml:space="preserve">2025-04-02</t>
  </si>
  <si>
    <t xml:space="preserve">PO-2025-021</t>
  </si>
  <si>
    <t xml:space="preserve">PO-2025-022</t>
  </si>
  <si>
    <t xml:space="preserve">Filtres à huile</t>
  </si>
  <si>
    <t xml:space="preserve">09/04/2025</t>
  </si>
  <si>
    <t xml:space="preserve">PO-2025-023</t>
  </si>
  <si>
    <t xml:space="preserve">Goma Electronics</t>
  </si>
  <si>
    <t xml:space="preserve">Ordinateurs portables</t>
  </si>
  <si>
    <t xml:space="preserve">2025-04-11</t>
  </si>
  <si>
    <t xml:space="preserve">Annulé</t>
  </si>
  <si>
    <t xml:space="preserve">PO-2025-024</t>
  </si>
  <si>
    <t xml:space="preserve">12/04/2025</t>
  </si>
  <si>
    <t xml:space="preserve">PO-2025-025</t>
  </si>
  <si>
    <t xml:space="preserve">15/04/2025</t>
  </si>
  <si>
    <t xml:space="preserve">PO-2025-026</t>
  </si>
  <si>
    <t xml:space="preserve">2025-04-18</t>
  </si>
  <si>
    <t xml:space="preserve">Notes pédagogiques : PO-2025-014 est un doublon EXACT (double saisie lors d'une coupure internet). PO-2025-018 apparaît deux fois avec des dates différentes : c'est probablement une commande répétée légitime, pas un doublon — à ne jamais supprimer sans vérifier le numéro de PO et la date. PO-2025-024 a un montant et un statut manquants.</t>
  </si>
  <si>
    <t xml:space="preserve">DONNÉES NETTOYÉES — LOGIQUE DE TRANSFORMATION (FORMULES)</t>
  </si>
  <si>
    <t xml:space="preserve">Démonstration pas-à-pas de la logique de nettoyage par formules. En conditions réelles, cette transformation se fait avec Power Query (Données &gt; Récupérer et transformer) — voir le guide pas-à-pas dans 02-outils.md du Module 07.</t>
  </si>
  <si>
    <t xml:space="preserve">Date brute</t>
  </si>
  <si>
    <t xml:space="preserve">Format détecté</t>
  </si>
  <si>
    <t xml:space="preserve">Date normalisée</t>
  </si>
  <si>
    <t xml:space="preserve">Montant brut</t>
  </si>
  <si>
    <t xml:space="preserve">Devise brute</t>
  </si>
  <si>
    <t xml:space="preserve">Devise normalisée</t>
  </si>
  <si>
    <t xml:space="preserve">Taux appliqué</t>
  </si>
  <si>
    <t xml:space="preserve">Montant converti (USD)</t>
  </si>
  <si>
    <t xml:space="preserve">Occurrences identiques (exactes)</t>
  </si>
  <si>
    <t xml:space="preserve">Doublon exact ?</t>
  </si>
  <si>
    <t xml:space="preserve">Anomalie / à vérifier</t>
  </si>
  <si>
    <t xml:space="preserve">Taux de référence appliqués (à documenter chaque mois)</t>
  </si>
  <si>
    <t xml:space="preserve">Taux fictifs à but pédagogique. En conditions réelles : utiliser le taux de change officiel adopté par la mission pour le mois comptable concerné, et documenter sa source (banque centrale, taux de référence interne bailleur, etc.) — voir 02-outils.md, étape 4.</t>
  </si>
  <si>
    <t xml:space="preserve">SYNTHÈSE</t>
  </si>
  <si>
    <t xml:space="preserve">Nombre total de lignes brutes</t>
  </si>
  <si>
    <t xml:space="preserve">Dont doublons exacts détectés</t>
  </si>
  <si>
    <t xml:space="preserve">Dont lignes avec anomalie (date ambiguë, donnée manquante...)</t>
  </si>
  <si>
    <t xml:space="preserve">Montant total converti (USD) — lignes sans anomalie uniquement</t>
  </si>
  <si>
    <t xml:space="preserve">NOTES DE TRANSFORMATION</t>
  </si>
  <si>
    <t xml:space="preserve">Module 07 — Systèmes ERP Humanitaires — BK-BOOST Ltd. — À documenter à chaque cycle de reporting.</t>
  </si>
  <si>
    <t xml:space="preserve">Étape</t>
  </si>
  <si>
    <t xml:space="preserve">Ce qui a été fait / à documenter chaque mois</t>
  </si>
  <si>
    <t xml:space="preserve">1. Source</t>
  </si>
  <si>
    <t xml:space="preserve">Fichier source non modifié, transformation faite sur copie (Power Query / feuille dédiée). Nom du fichier d'export, date d'export et période couverte à indiquer ici chaque mois.</t>
  </si>
  <si>
    <t xml:space="preserve">2. Doublons</t>
  </si>
  <si>
    <t xml:space="preserve">Critère d'unicité utilisé : N° PO + Article + Date + Montant + Devise (correspondance exacte sur les 5 champs). Nombre de doublons exacts détectés ce mois : voir feuille 'Données nettoyées', cellule E23. Ne jamais supprimer sur simple ressemblance visuelle — toujours vérifier le numéro de PO.</t>
  </si>
  <si>
    <t xml:space="preserve">3. Dates</t>
  </si>
  <si>
    <t xml:space="preserve">Formats rencontrés : JJ/MM/AAAA, MM/JJ/AAAA et AAAA-MM-JJ mélangés dans le même export. Les dates réellement ambiguës (ex. 05/04/2025) sont marquées 'AMBIGU - A VERIFIER' et ne sont jamais devinées — remonter à la source de saisie.</t>
  </si>
  <si>
    <t xml:space="preserve">4. Devises</t>
  </si>
  <si>
    <t xml:space="preserve">Devise de reporting unique : USD. Taux appliqués et leur source à documenter dans la feuille 'Données nettoyées', colonnes Q:R, chaque mois. Montant original toujours conservé à côté du montant converti.</t>
  </si>
  <si>
    <t xml:space="preserve">5. Lignes incomplètes</t>
  </si>
  <si>
    <t xml:space="preserve">Toute ligne avec un champ clé manquant (montant, statut) est signalée en anomalie et exclue des totaux jusqu'à confirmation — jamais comptée par défaut.</t>
  </si>
  <si>
    <t xml:space="preserve">6. Reproductibilité</t>
  </si>
  <si>
    <t xml:space="preserve">En Excel réel : Données &gt; Récupérer et transformer &gt; Power Query. Une fois le pipeline construit, un nouvel export s'actualise avec Données &gt; Actualiser tout, sans refaire les étapes manuellement. Voir le guide complet dans 02-outils.md.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</si>
</sst>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yyyy\-mm\-dd"/>
    <numFmt numFmtId="167" formatCode="0.000000"/>
    <numFmt numFmtId="168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ECFD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ECFDF5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4" min="3" style="0" width="26"/>
    <col collapsed="false" customWidth="true" hidden="false" outlineLevel="0" max="6" min="5" style="0" width="18"/>
    <col collapsed="false" customWidth="true" hidden="false" outlineLevel="0" max="7" min="7" style="0" width="1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4" t="s">
        <v>11</v>
      </c>
      <c r="D5" s="4" t="s">
        <v>12</v>
      </c>
      <c r="E5" s="5" t="n">
        <v>1250</v>
      </c>
      <c r="F5" s="4" t="s">
        <v>13</v>
      </c>
      <c r="G5" s="4" t="s">
        <v>14</v>
      </c>
    </row>
    <row r="6" customFormat="false" ht="15" hidden="false" customHeight="false" outlineLevel="0" collapsed="false">
      <c r="A6" s="6" t="s">
        <v>15</v>
      </c>
      <c r="B6" s="6" t="s">
        <v>16</v>
      </c>
      <c r="C6" s="6" t="s">
        <v>17</v>
      </c>
      <c r="D6" s="6" t="s">
        <v>18</v>
      </c>
      <c r="E6" s="7" t="n">
        <v>3400</v>
      </c>
      <c r="F6" s="6" t="s">
        <v>19</v>
      </c>
      <c r="G6" s="6" t="s">
        <v>14</v>
      </c>
    </row>
    <row r="7" customFormat="false" ht="15" hidden="false" customHeight="false" outlineLevel="0" collapsed="false">
      <c r="A7" s="4" t="s">
        <v>20</v>
      </c>
      <c r="B7" s="4" t="s">
        <v>21</v>
      </c>
      <c r="C7" s="4" t="s">
        <v>22</v>
      </c>
      <c r="D7" s="4" t="s">
        <v>23</v>
      </c>
      <c r="E7" s="5" t="n">
        <v>980000</v>
      </c>
      <c r="F7" s="4" t="s">
        <v>24</v>
      </c>
      <c r="G7" s="4" t="s">
        <v>14</v>
      </c>
    </row>
    <row r="8" customFormat="false" ht="15" hidden="false" customHeight="false" outlineLevel="0" collapsed="false">
      <c r="A8" s="6" t="s">
        <v>25</v>
      </c>
      <c r="B8" s="6" t="s">
        <v>10</v>
      </c>
      <c r="C8" s="6" t="s">
        <v>26</v>
      </c>
      <c r="D8" s="6" t="s">
        <v>27</v>
      </c>
      <c r="E8" s="7" t="n">
        <v>2100</v>
      </c>
      <c r="F8" s="6" t="s">
        <v>13</v>
      </c>
      <c r="G8" s="6" t="s">
        <v>28</v>
      </c>
    </row>
    <row r="9" customFormat="false" ht="15" hidden="false" customHeight="false" outlineLevel="0" collapsed="false">
      <c r="A9" s="4" t="s">
        <v>25</v>
      </c>
      <c r="B9" s="4" t="s">
        <v>10</v>
      </c>
      <c r="C9" s="4" t="s">
        <v>26</v>
      </c>
      <c r="D9" s="4" t="s">
        <v>27</v>
      </c>
      <c r="E9" s="5" t="n">
        <v>2100</v>
      </c>
      <c r="F9" s="4" t="s">
        <v>13</v>
      </c>
      <c r="G9" s="4" t="s">
        <v>28</v>
      </c>
    </row>
    <row r="10" customFormat="false" ht="15" hidden="false" customHeight="false" outlineLevel="0" collapsed="false">
      <c r="A10" s="6" t="s">
        <v>29</v>
      </c>
      <c r="B10" s="6" t="s">
        <v>30</v>
      </c>
      <c r="C10" s="6" t="s">
        <v>31</v>
      </c>
      <c r="D10" s="6" t="s">
        <v>32</v>
      </c>
      <c r="E10" s="7" t="n">
        <v>1500</v>
      </c>
      <c r="F10" s="6" t="s">
        <v>33</v>
      </c>
      <c r="G10" s="6" t="s">
        <v>14</v>
      </c>
    </row>
    <row r="11" customFormat="false" ht="15" hidden="false" customHeight="false" outlineLevel="0" collapsed="false">
      <c r="A11" s="4" t="s">
        <v>34</v>
      </c>
      <c r="B11" s="4" t="s">
        <v>16</v>
      </c>
      <c r="C11" s="4" t="s">
        <v>17</v>
      </c>
      <c r="D11" s="4" t="s">
        <v>35</v>
      </c>
      <c r="E11" s="5" t="n">
        <v>2200</v>
      </c>
      <c r="F11" s="4" t="s">
        <v>36</v>
      </c>
      <c r="G11" s="4" t="s">
        <v>14</v>
      </c>
    </row>
    <row r="12" customFormat="false" ht="15" hidden="false" customHeight="false" outlineLevel="0" collapsed="false">
      <c r="A12" s="6" t="s">
        <v>37</v>
      </c>
      <c r="B12" s="6" t="s">
        <v>21</v>
      </c>
      <c r="C12" s="6" t="s">
        <v>38</v>
      </c>
      <c r="D12" s="6" t="s">
        <v>39</v>
      </c>
      <c r="E12" s="7" t="n">
        <v>610000</v>
      </c>
      <c r="F12" s="6" t="s">
        <v>24</v>
      </c>
      <c r="G12" s="6" t="s">
        <v>14</v>
      </c>
    </row>
    <row r="13" customFormat="false" ht="15" hidden="false" customHeight="false" outlineLevel="0" collapsed="false">
      <c r="A13" s="4" t="s">
        <v>40</v>
      </c>
      <c r="B13" s="4" t="s">
        <v>10</v>
      </c>
      <c r="C13" s="4" t="s">
        <v>41</v>
      </c>
      <c r="D13" s="4" t="s">
        <v>42</v>
      </c>
      <c r="E13" s="5" t="n">
        <v>890</v>
      </c>
      <c r="F13" s="4" t="s">
        <v>43</v>
      </c>
      <c r="G13" s="4" t="s">
        <v>14</v>
      </c>
    </row>
    <row r="14" customFormat="false" ht="15" hidden="false" customHeight="false" outlineLevel="0" collapsed="false">
      <c r="A14" s="6" t="s">
        <v>40</v>
      </c>
      <c r="B14" s="6" t="s">
        <v>10</v>
      </c>
      <c r="C14" s="6" t="s">
        <v>41</v>
      </c>
      <c r="D14" s="6" t="s">
        <v>44</v>
      </c>
      <c r="E14" s="7" t="n">
        <v>890</v>
      </c>
      <c r="F14" s="6" t="s">
        <v>43</v>
      </c>
      <c r="G14" s="6" t="s">
        <v>14</v>
      </c>
    </row>
    <row r="15" customFormat="false" ht="15" hidden="false" customHeight="false" outlineLevel="0" collapsed="false">
      <c r="A15" s="4" t="s">
        <v>45</v>
      </c>
      <c r="B15" s="4" t="s">
        <v>30</v>
      </c>
      <c r="C15" s="4" t="s">
        <v>31</v>
      </c>
      <c r="D15" s="4" t="s">
        <v>46</v>
      </c>
      <c r="E15" s="5" t="n">
        <v>1500</v>
      </c>
      <c r="F15" s="4" t="s">
        <v>33</v>
      </c>
      <c r="G15" s="4" t="s">
        <v>14</v>
      </c>
    </row>
    <row r="16" customFormat="false" ht="15" hidden="false" customHeight="false" outlineLevel="0" collapsed="false">
      <c r="A16" s="6" t="s">
        <v>47</v>
      </c>
      <c r="B16" s="6" t="s">
        <v>16</v>
      </c>
      <c r="C16" s="6" t="s">
        <v>48</v>
      </c>
      <c r="D16" s="6" t="s">
        <v>49</v>
      </c>
      <c r="E16" s="7" t="n">
        <v>1780</v>
      </c>
      <c r="F16" s="6" t="s">
        <v>13</v>
      </c>
      <c r="G16" s="6" t="s">
        <v>28</v>
      </c>
    </row>
    <row r="17" customFormat="false" ht="15" hidden="false" customHeight="false" outlineLevel="0" collapsed="false">
      <c r="A17" s="4" t="s">
        <v>50</v>
      </c>
      <c r="B17" s="4" t="s">
        <v>21</v>
      </c>
      <c r="C17" s="4" t="s">
        <v>22</v>
      </c>
      <c r="D17" s="4" t="s">
        <v>42</v>
      </c>
      <c r="E17" s="5" t="n">
        <v>940000</v>
      </c>
      <c r="F17" s="4" t="s">
        <v>24</v>
      </c>
      <c r="G17" s="4" t="s">
        <v>28</v>
      </c>
    </row>
    <row r="18" customFormat="false" ht="15" hidden="false" customHeight="false" outlineLevel="0" collapsed="false">
      <c r="A18" s="6" t="s">
        <v>51</v>
      </c>
      <c r="B18" s="6" t="s">
        <v>10</v>
      </c>
      <c r="C18" s="6" t="s">
        <v>52</v>
      </c>
      <c r="D18" s="6" t="s">
        <v>53</v>
      </c>
      <c r="E18" s="7" t="n">
        <v>340</v>
      </c>
      <c r="F18" s="6" t="s">
        <v>19</v>
      </c>
      <c r="G18" s="6" t="s">
        <v>14</v>
      </c>
    </row>
    <row r="19" customFormat="false" ht="15" hidden="false" customHeight="false" outlineLevel="0" collapsed="false">
      <c r="A19" s="4" t="s">
        <v>54</v>
      </c>
      <c r="B19" s="4" t="s">
        <v>55</v>
      </c>
      <c r="C19" s="4" t="s">
        <v>56</v>
      </c>
      <c r="D19" s="4" t="s">
        <v>57</v>
      </c>
      <c r="E19" s="5" t="n">
        <v>4200</v>
      </c>
      <c r="F19" s="4" t="s">
        <v>13</v>
      </c>
      <c r="G19" s="4" t="s">
        <v>58</v>
      </c>
    </row>
    <row r="20" customFormat="false" ht="15" hidden="false" customHeight="false" outlineLevel="0" collapsed="false">
      <c r="A20" s="6" t="s">
        <v>59</v>
      </c>
      <c r="B20" s="6" t="s">
        <v>16</v>
      </c>
      <c r="C20" s="6" t="s">
        <v>17</v>
      </c>
      <c r="D20" s="6" t="s">
        <v>60</v>
      </c>
      <c r="E20" s="7"/>
      <c r="F20" s="6" t="s">
        <v>13</v>
      </c>
      <c r="G20" s="6"/>
    </row>
    <row r="21" customFormat="false" ht="15" hidden="false" customHeight="false" outlineLevel="0" collapsed="false">
      <c r="A21" s="4" t="s">
        <v>61</v>
      </c>
      <c r="B21" s="4" t="s">
        <v>30</v>
      </c>
      <c r="C21" s="4" t="s">
        <v>31</v>
      </c>
      <c r="D21" s="4" t="s">
        <v>62</v>
      </c>
      <c r="E21" s="5" t="n">
        <v>1600</v>
      </c>
      <c r="F21" s="4" t="s">
        <v>33</v>
      </c>
      <c r="G21" s="4" t="s">
        <v>14</v>
      </c>
    </row>
    <row r="22" customFormat="false" ht="15" hidden="false" customHeight="false" outlineLevel="0" collapsed="false">
      <c r="A22" s="6" t="s">
        <v>63</v>
      </c>
      <c r="B22" s="6" t="s">
        <v>21</v>
      </c>
      <c r="C22" s="6" t="s">
        <v>22</v>
      </c>
      <c r="D22" s="6" t="s">
        <v>64</v>
      </c>
      <c r="E22" s="7" t="n">
        <v>1020000</v>
      </c>
      <c r="F22" s="6" t="s">
        <v>24</v>
      </c>
      <c r="G22" s="6" t="s">
        <v>28</v>
      </c>
    </row>
    <row r="24" customFormat="false" ht="45" hidden="false" customHeight="true" outlineLevel="0" collapsed="false">
      <c r="A24" s="8" t="s">
        <v>65</v>
      </c>
      <c r="B24" s="8"/>
      <c r="C24" s="8"/>
      <c r="D24" s="8"/>
      <c r="E24" s="8"/>
      <c r="F24" s="8"/>
      <c r="G24" s="8"/>
    </row>
  </sheetData>
  <mergeCells count="3">
    <mergeCell ref="A1:G1"/>
    <mergeCell ref="A2:G2"/>
    <mergeCell ref="A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30"/>
    <col collapsed="false" customWidth="true" hidden="false" outlineLevel="0" max="14" min="14" style="0" width="12"/>
    <col collapsed="false" customWidth="true" hidden="false" outlineLevel="0" max="15" min="15" style="0" width="40"/>
    <col collapsed="false" customWidth="true" hidden="false" outlineLevel="0" max="17" min="17" style="0" width="10"/>
    <col collapsed="false" customWidth="true" hidden="false" outlineLevel="0" max="18" min="18" style="0" width="12"/>
  </cols>
  <sheetData>
    <row r="1" customFormat="false" ht="21.75" hidden="false" customHeight="true" outlineLevel="0" collapsed="false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2" t="s">
        <v>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68</v>
      </c>
      <c r="E4" s="3" t="s">
        <v>69</v>
      </c>
      <c r="F4" s="3" t="s">
        <v>70</v>
      </c>
      <c r="G4" s="3" t="s">
        <v>71</v>
      </c>
      <c r="H4" s="3" t="s">
        <v>72</v>
      </c>
      <c r="I4" s="3" t="s">
        <v>73</v>
      </c>
      <c r="J4" s="3" t="s">
        <v>74</v>
      </c>
      <c r="K4" s="3" t="s">
        <v>75</v>
      </c>
      <c r="L4" s="3" t="s">
        <v>76</v>
      </c>
      <c r="M4" s="3" t="s">
        <v>77</v>
      </c>
      <c r="N4" s="3" t="s">
        <v>8</v>
      </c>
      <c r="O4" s="3" t="s">
        <v>78</v>
      </c>
      <c r="Q4" s="9" t="s">
        <v>79</v>
      </c>
      <c r="R4" s="9"/>
    </row>
    <row r="5" customFormat="false" ht="15" hidden="false" customHeight="false" outlineLevel="0" collapsed="false">
      <c r="A5" s="4" t="str">
        <f aca="false">'Données brutes'!A5</f>
        <v>PO-2025-011</v>
      </c>
      <c r="B5" s="4" t="str">
        <f aca="false">'Données brutes'!B5</f>
        <v>Kivu Motors SARL</v>
      </c>
      <c r="C5" s="4" t="str">
        <f aca="false">'Données brutes'!C5</f>
        <v>Pièces détachées véhicule</v>
      </c>
      <c r="D5" s="4" t="str">
        <f aca="false">'Données brutes'!D5</f>
        <v>12/03/2025</v>
      </c>
      <c r="E5" s="4" t="str">
        <f aca="false">IF(ISNUMBER(SEARCH("-",D5)),"ISO (AAAA-MM-JJ)",IF(VALUE(LEFT(D5,FIND("/",D5)-1))&gt;12,"JJ/MM/AAAA (1er nombre &gt; 12 = jour)",IF(VALUE(MID(D5,FIND("/",D5)+1,2))&gt;12,"MM/JJ/AAAA (2e nombre &gt; 12 = jour)","AMBIGU - A VERIFIER MANUELLEMENT")))</f>
        <v>AMBIGU - A VERIFIER MANUELLEMENT</v>
      </c>
      <c r="F5" s="10" t="str">
        <f aca="false">IF(E5="ISO (AAAA-MM-JJ)",DATE(VALUE(LEFT(D5,4)),VALUE(MID(D5,6,2)),VALUE(RIGHT(D5,2))),IF(E5="JJ/MM/AAAA (1er nombre &gt; 12 = jour)",DATE(VALUE(RIGHT(D5,4)),VALUE(MID(D5,FIND("/",D5)+1,2)),VALUE(LEFT(D5,FIND("/",D5)-1))),IF(E5="MM/JJ/AAAA (2e nombre &gt; 12 = jour)",DATE(VALUE(RIGHT(D5,4)),VALUE(LEFT(D5,FIND("/",D5)-1)),VALUE(MID(D5,FIND("/",D5)+1,2))),"—")))</f>
        <v>—</v>
      </c>
      <c r="G5" s="5" t="n">
        <f aca="false">IF(ISBLANK('Données brutes'!E5),"—",'Données brutes'!E5)</f>
        <v>1250</v>
      </c>
      <c r="H5" s="4" t="str">
        <f aca="false">'Données brutes'!F5</f>
        <v>USD</v>
      </c>
      <c r="I5" s="4" t="str">
        <f aca="false">IF(H5="","(vide)",IF(OR(H5="USD",H5="US$",H5="$",H5="Dollars"),"USD",IF(H5="EUR","EUR",IF(H5="CDF","CDF",H5))))</f>
        <v>USD</v>
      </c>
      <c r="J5" s="11" t="n">
        <f aca="false">IF(I5="USD",$R$5,IF(I5="EUR",$R$6,IF(I5="CDF",$R$7,"TAUX INCONNU")))</f>
        <v>1</v>
      </c>
      <c r="K5" s="12" t="n">
        <f aca="false">IF(OR(ISTEXT(J5),ISTEXT(G5)),"—",G5*J5)</f>
        <v>1250</v>
      </c>
      <c r="L5" s="4" t="n">
        <f aca="false">COUNTIFS('Données brutes'!$A$5:$A$22,A5,'Données brutes'!$C$5:$C$22,C5,'Données brutes'!$D$5:$D$22,D5,'Données brutes'!$E$5:$E$22,G5,'Données brutes'!$F$5:$F$22,H5)</f>
        <v>1</v>
      </c>
      <c r="M5" s="4" t="str">
        <f aca="false">IF(L5&gt;1,"OUI - doublon exact, a verifier avant suppression","NON")</f>
        <v>NON</v>
      </c>
      <c r="N5" s="4" t="str">
        <f aca="false">IF(ISBLANK('Données brutes'!G5),"—",'Données brutes'!G5)</f>
        <v>Livré</v>
      </c>
      <c r="O5" s="4" t="str">
        <f aca="false">IF((IF(E5="AMBIGU - A VERIFIER MANUELLEMENT",1,0)+IF(M5&lt;&gt;"NON",1,0)+IF(ISBLANK('Données brutes'!E5),1,0)+IF(ISBLANK('Données brutes'!G5),1,0))=0,"—",TRIM(IF(E5="AMBIGU - A VERIFIER MANUELLEMENT","Date ambigue; ","")&amp;IF(M5&lt;&gt;"NON","Doublon potentiel; ","")&amp;IF(ISBLANK('Données brutes'!E5),"Montant manquant; ","")&amp;IF(ISBLANK('Données brutes'!G5),"Statut manquant; ","")))</f>
        <v>Date ambigue;</v>
      </c>
      <c r="Q5" s="13" t="s">
        <v>13</v>
      </c>
      <c r="R5" s="14" t="n">
        <v>1</v>
      </c>
    </row>
    <row r="6" customFormat="false" ht="15" hidden="false" customHeight="false" outlineLevel="0" collapsed="false">
      <c r="A6" s="6" t="str">
        <f aca="false">'Données brutes'!A6</f>
        <v>PO-2025-012</v>
      </c>
      <c r="B6" s="6" t="str">
        <f aca="false">'Données brutes'!B6</f>
        <v>AfriMed Supplies</v>
      </c>
      <c r="C6" s="6" t="str">
        <f aca="false">'Données brutes'!C6</f>
        <v>Kits médicaux</v>
      </c>
      <c r="D6" s="6" t="str">
        <f aca="false">'Données brutes'!D6</f>
        <v>2025-03-14</v>
      </c>
      <c r="E6" s="6" t="str">
        <f aca="false">IF(ISNUMBER(SEARCH("-",D6)),"ISO (AAAA-MM-JJ)",IF(VALUE(LEFT(D6,FIND("/",D6)-1))&gt;12,"JJ/MM/AAAA (1er nombre &gt; 12 = jour)",IF(VALUE(MID(D6,FIND("/",D6)+1,2))&gt;12,"MM/JJ/AAAA (2e nombre &gt; 12 = jour)","AMBIGU - A VERIFIER MANUELLEMENT")))</f>
        <v>ISO (AAAA-MM-JJ)</v>
      </c>
      <c r="F6" s="15" t="n">
        <f aca="false">IF(E6="ISO (AAAA-MM-JJ)",DATE(VALUE(LEFT(D6,4)),VALUE(MID(D6,6,2)),VALUE(RIGHT(D6,2))),IF(E6="JJ/MM/AAAA (1er nombre &gt; 12 = jour)",DATE(VALUE(RIGHT(D6,4)),VALUE(MID(D6,FIND("/",D6)+1,2)),VALUE(LEFT(D6,FIND("/",D6)-1))),IF(E6="MM/JJ/AAAA (2e nombre &gt; 12 = jour)",DATE(VALUE(RIGHT(D6,4)),VALUE(LEFT(D6,FIND("/",D6)-1)),VALUE(MID(D6,FIND("/",D6)+1,2))),"—")))</f>
        <v>45730</v>
      </c>
      <c r="G6" s="7" t="n">
        <f aca="false">IF(ISBLANK('Données brutes'!E6),"—",'Données brutes'!E6)</f>
        <v>3400</v>
      </c>
      <c r="H6" s="6" t="str">
        <f aca="false">'Données brutes'!F6</f>
        <v>US$</v>
      </c>
      <c r="I6" s="6" t="str">
        <f aca="false">IF(H6="","(vide)",IF(OR(H6="USD",H6="US$",H6="$",H6="Dollars"),"USD",IF(H6="EUR","EUR",IF(H6="CDF","CDF",H6))))</f>
        <v>USD</v>
      </c>
      <c r="J6" s="16" t="n">
        <f aca="false">IF(I6="USD",$R$5,IF(I6="EUR",$R$6,IF(I6="CDF",$R$7,"TAUX INCONNU")))</f>
        <v>1</v>
      </c>
      <c r="K6" s="17" t="n">
        <f aca="false">IF(OR(ISTEXT(J6),ISTEXT(G6)),"—",G6*J6)</f>
        <v>3400</v>
      </c>
      <c r="L6" s="6" t="n">
        <f aca="false">COUNTIFS('Données brutes'!$A$5:$A$22,A6,'Données brutes'!$C$5:$C$22,C6,'Données brutes'!$D$5:$D$22,D6,'Données brutes'!$E$5:$E$22,G6,'Données brutes'!$F$5:$F$22,H6)</f>
        <v>1</v>
      </c>
      <c r="M6" s="6" t="str">
        <f aca="false">IF(L6&gt;1,"OUI - doublon exact, a verifier avant suppression","NON")</f>
        <v>NON</v>
      </c>
      <c r="N6" s="6" t="str">
        <f aca="false">IF(ISBLANK('Données brutes'!G6),"—",'Données brutes'!G6)</f>
        <v>Livré</v>
      </c>
      <c r="O6" s="6" t="str">
        <f aca="false">IF((IF(E6="AMBIGU - A VERIFIER MANUELLEMENT",1,0)+IF(M6&lt;&gt;"NON",1,0)+IF(ISBLANK('Données brutes'!E6),1,0)+IF(ISBLANK('Données brutes'!G6),1,0))=0,"—",TRIM(IF(E6="AMBIGU - A VERIFIER MANUELLEMENT","Date ambigue; ","")&amp;IF(M6&lt;&gt;"NON","Doublon potentiel; ","")&amp;IF(ISBLANK('Données brutes'!E6),"Montant manquant; ","")&amp;IF(ISBLANK('Données brutes'!G6),"Statut manquant; ","")))</f>
        <v>—</v>
      </c>
      <c r="Q6" s="13" t="s">
        <v>33</v>
      </c>
      <c r="R6" s="14" t="n">
        <v>1.08</v>
      </c>
    </row>
    <row r="7" customFormat="false" ht="15" hidden="false" customHeight="false" outlineLevel="0" collapsed="false">
      <c r="A7" s="4" t="str">
        <f aca="false">'Données brutes'!A7</f>
        <v>PO-2025-013</v>
      </c>
      <c r="B7" s="4" t="str">
        <f aca="false">'Données brutes'!B7</f>
        <v>Bunia Fuel Co.</v>
      </c>
      <c r="C7" s="4" t="str">
        <f aca="false">'Données brutes'!C7</f>
        <v>Carburant diesel</v>
      </c>
      <c r="D7" s="4" t="str">
        <f aca="false">'Données brutes'!D7</f>
        <v>15/03/2025</v>
      </c>
      <c r="E7" s="4" t="str">
        <f aca="false">IF(ISNUMBER(SEARCH("-",D7)),"ISO (AAAA-MM-JJ)",IF(VALUE(LEFT(D7,FIND("/",D7)-1))&gt;12,"JJ/MM/AAAA (1er nombre &gt; 12 = jour)",IF(VALUE(MID(D7,FIND("/",D7)+1,2))&gt;12,"MM/JJ/AAAA (2e nombre &gt; 12 = jour)","AMBIGU - A VERIFIER MANUELLEMENT")))</f>
        <v>JJ/MM/AAAA (1er nombre &gt; 12 = jour)</v>
      </c>
      <c r="F7" s="10" t="n">
        <f aca="false">IF(E7="ISO (AAAA-MM-JJ)",DATE(VALUE(LEFT(D7,4)),VALUE(MID(D7,6,2)),VALUE(RIGHT(D7,2))),IF(E7="JJ/MM/AAAA (1er nombre &gt; 12 = jour)",DATE(VALUE(RIGHT(D7,4)),VALUE(MID(D7,FIND("/",D7)+1,2)),VALUE(LEFT(D7,FIND("/",D7)-1))),IF(E7="MM/JJ/AAAA (2e nombre &gt; 12 = jour)",DATE(VALUE(RIGHT(D7,4)),VALUE(LEFT(D7,FIND("/",D7)-1)),VALUE(MID(D7,FIND("/",D7)+1,2))),"—")))</f>
        <v>45731</v>
      </c>
      <c r="G7" s="5" t="n">
        <f aca="false">IF(ISBLANK('Données brutes'!E7),"—",'Données brutes'!E7)</f>
        <v>980000</v>
      </c>
      <c r="H7" s="4" t="str">
        <f aca="false">'Données brutes'!F7</f>
        <v>CDF</v>
      </c>
      <c r="I7" s="4" t="str">
        <f aca="false">IF(H7="","(vide)",IF(OR(H7="USD",H7="US$",H7="$",H7="Dollars"),"USD",IF(H7="EUR","EUR",IF(H7="CDF","CDF",H7))))</f>
        <v>CDF</v>
      </c>
      <c r="J7" s="11" t="n">
        <f aca="false">IF(I7="USD",$R$5,IF(I7="EUR",$R$6,IF(I7="CDF",$R$7,"TAUX INCONNU")))</f>
        <v>0.00036</v>
      </c>
      <c r="K7" s="12" t="n">
        <f aca="false">IF(OR(ISTEXT(J7),ISTEXT(G7)),"—",G7*J7)</f>
        <v>352.8</v>
      </c>
      <c r="L7" s="4" t="n">
        <f aca="false">COUNTIFS('Données brutes'!$A$5:$A$22,A7,'Données brutes'!$C$5:$C$22,C7,'Données brutes'!$D$5:$D$22,D7,'Données brutes'!$E$5:$E$22,G7,'Données brutes'!$F$5:$F$22,H7)</f>
        <v>1</v>
      </c>
      <c r="M7" s="4" t="str">
        <f aca="false">IF(L7&gt;1,"OUI - doublon exact, a verifier avant suppression","NON")</f>
        <v>NON</v>
      </c>
      <c r="N7" s="4" t="str">
        <f aca="false">IF(ISBLANK('Données brutes'!G7),"—",'Données brutes'!G7)</f>
        <v>Livré</v>
      </c>
      <c r="O7" s="4" t="str">
        <f aca="false">IF((IF(E7="AMBIGU - A VERIFIER MANUELLEMENT",1,0)+IF(M7&lt;&gt;"NON",1,0)+IF(ISBLANK('Données brutes'!E7),1,0)+IF(ISBLANK('Données brutes'!G7),1,0))=0,"—",TRIM(IF(E7="AMBIGU - A VERIFIER MANUELLEMENT","Date ambigue; ","")&amp;IF(M7&lt;&gt;"NON","Doublon potentiel; ","")&amp;IF(ISBLANK('Données brutes'!E7),"Montant manquant; ","")&amp;IF(ISBLANK('Données brutes'!G7),"Statut manquant; ","")))</f>
        <v>—</v>
      </c>
      <c r="Q7" s="13" t="s">
        <v>24</v>
      </c>
      <c r="R7" s="14" t="n">
        <v>0.00036</v>
      </c>
    </row>
    <row r="8" customFormat="false" ht="15" hidden="false" customHeight="false" outlineLevel="0" collapsed="false">
      <c r="A8" s="6" t="str">
        <f aca="false">'Données brutes'!A8</f>
        <v>PO-2025-014</v>
      </c>
      <c r="B8" s="6" t="str">
        <f aca="false">'Données brutes'!B8</f>
        <v>Kivu Motors SARL</v>
      </c>
      <c r="C8" s="6" t="str">
        <f aca="false">'Données brutes'!C8</f>
        <v>Pneus 4x4</v>
      </c>
      <c r="D8" s="6" t="str">
        <f aca="false">'Données brutes'!D8</f>
        <v>18/03/2025</v>
      </c>
      <c r="E8" s="6" t="str">
        <f aca="false">IF(ISNUMBER(SEARCH("-",D8)),"ISO (AAAA-MM-JJ)",IF(VALUE(LEFT(D8,FIND("/",D8)-1))&gt;12,"JJ/MM/AAAA (1er nombre &gt; 12 = jour)",IF(VALUE(MID(D8,FIND("/",D8)+1,2))&gt;12,"MM/JJ/AAAA (2e nombre &gt; 12 = jour)","AMBIGU - A VERIFIER MANUELLEMENT")))</f>
        <v>JJ/MM/AAAA (1er nombre &gt; 12 = jour)</v>
      </c>
      <c r="F8" s="15" t="n">
        <f aca="false">IF(E8="ISO (AAAA-MM-JJ)",DATE(VALUE(LEFT(D8,4)),VALUE(MID(D8,6,2)),VALUE(RIGHT(D8,2))),IF(E8="JJ/MM/AAAA (1er nombre &gt; 12 = jour)",DATE(VALUE(RIGHT(D8,4)),VALUE(MID(D8,FIND("/",D8)+1,2)),VALUE(LEFT(D8,FIND("/",D8)-1))),IF(E8="MM/JJ/AAAA (2e nombre &gt; 12 = jour)",DATE(VALUE(RIGHT(D8,4)),VALUE(LEFT(D8,FIND("/",D8)-1)),VALUE(MID(D8,FIND("/",D8)+1,2))),"—")))</f>
        <v>45734</v>
      </c>
      <c r="G8" s="7" t="n">
        <f aca="false">IF(ISBLANK('Données brutes'!E8),"—",'Données brutes'!E8)</f>
        <v>2100</v>
      </c>
      <c r="H8" s="6" t="str">
        <f aca="false">'Données brutes'!F8</f>
        <v>USD</v>
      </c>
      <c r="I8" s="6" t="str">
        <f aca="false">IF(H8="","(vide)",IF(OR(H8="USD",H8="US$",H8="$",H8="Dollars"),"USD",IF(H8="EUR","EUR",IF(H8="CDF","CDF",H8))))</f>
        <v>USD</v>
      </c>
      <c r="J8" s="16" t="n">
        <f aca="false">IF(I8="USD",$R$5,IF(I8="EUR",$R$6,IF(I8="CDF",$R$7,"TAUX INCONNU")))</f>
        <v>1</v>
      </c>
      <c r="K8" s="17" t="n">
        <f aca="false">IF(OR(ISTEXT(J8),ISTEXT(G8)),"—",G8*J8)</f>
        <v>2100</v>
      </c>
      <c r="L8" s="6" t="n">
        <f aca="false">COUNTIFS('Données brutes'!$A$5:$A$22,A8,'Données brutes'!$C$5:$C$22,C8,'Données brutes'!$D$5:$D$22,D8,'Données brutes'!$E$5:$E$22,G8,'Données brutes'!$F$5:$F$22,H8)</f>
        <v>2</v>
      </c>
      <c r="M8" s="6" t="str">
        <f aca="false">IF(L8&gt;1,"OUI - doublon exact, a verifier avant suppression","NON")</f>
        <v>OUI - doublon exact, a verifier avant suppression</v>
      </c>
      <c r="N8" s="6" t="str">
        <f aca="false">IF(ISBLANK('Données brutes'!G8),"—",'Données brutes'!G8)</f>
        <v>En cours</v>
      </c>
      <c r="O8" s="6" t="str">
        <f aca="false">IF((IF(E8="AMBIGU - A VERIFIER MANUELLEMENT",1,0)+IF(M8&lt;&gt;"NON",1,0)+IF(ISBLANK('Données brutes'!E8),1,0)+IF(ISBLANK('Données brutes'!G8),1,0))=0,"—",TRIM(IF(E8="AMBIGU - A VERIFIER MANUELLEMENT","Date ambigue; ","")&amp;IF(M8&lt;&gt;"NON","Doublon potentiel; ","")&amp;IF(ISBLANK('Données brutes'!E8),"Montant manquant; ","")&amp;IF(ISBLANK('Données brutes'!G8),"Statut manquant; ","")))</f>
        <v>Doublon potentiel;</v>
      </c>
    </row>
    <row r="9" customFormat="false" ht="15" hidden="false" customHeight="true" outlineLevel="0" collapsed="false">
      <c r="A9" s="4" t="str">
        <f aca="false">'Données brutes'!A9</f>
        <v>PO-2025-014</v>
      </c>
      <c r="B9" s="4" t="str">
        <f aca="false">'Données brutes'!B9</f>
        <v>Kivu Motors SARL</v>
      </c>
      <c r="C9" s="4" t="str">
        <f aca="false">'Données brutes'!C9</f>
        <v>Pneus 4x4</v>
      </c>
      <c r="D9" s="4" t="str">
        <f aca="false">'Données brutes'!D9</f>
        <v>18/03/2025</v>
      </c>
      <c r="E9" s="4" t="str">
        <f aca="false">IF(ISNUMBER(SEARCH("-",D9)),"ISO (AAAA-MM-JJ)",IF(VALUE(LEFT(D9,FIND("/",D9)-1))&gt;12,"JJ/MM/AAAA (1er nombre &gt; 12 = jour)",IF(VALUE(MID(D9,FIND("/",D9)+1,2))&gt;12,"MM/JJ/AAAA (2e nombre &gt; 12 = jour)","AMBIGU - A VERIFIER MANUELLEMENT")))</f>
        <v>JJ/MM/AAAA (1er nombre &gt; 12 = jour)</v>
      </c>
      <c r="F9" s="10" t="n">
        <f aca="false">IF(E9="ISO (AAAA-MM-JJ)",DATE(VALUE(LEFT(D9,4)),VALUE(MID(D9,6,2)),VALUE(RIGHT(D9,2))),IF(E9="JJ/MM/AAAA (1er nombre &gt; 12 = jour)",DATE(VALUE(RIGHT(D9,4)),VALUE(MID(D9,FIND("/",D9)+1,2)),VALUE(LEFT(D9,FIND("/",D9)-1))),IF(E9="MM/JJ/AAAA (2e nombre &gt; 12 = jour)",DATE(VALUE(RIGHT(D9,4)),VALUE(LEFT(D9,FIND("/",D9)-1)),VALUE(MID(D9,FIND("/",D9)+1,2))),"—")))</f>
        <v>45734</v>
      </c>
      <c r="G9" s="5" t="n">
        <f aca="false">IF(ISBLANK('Données brutes'!E9),"—",'Données brutes'!E9)</f>
        <v>2100</v>
      </c>
      <c r="H9" s="4" t="str">
        <f aca="false">'Données brutes'!F9</f>
        <v>USD</v>
      </c>
      <c r="I9" s="4" t="str">
        <f aca="false">IF(H9="","(vide)",IF(OR(H9="USD",H9="US$",H9="$",H9="Dollars"),"USD",IF(H9="EUR","EUR",IF(H9="CDF","CDF",H9))))</f>
        <v>USD</v>
      </c>
      <c r="J9" s="11" t="n">
        <f aca="false">IF(I9="USD",$R$5,IF(I9="EUR",$R$6,IF(I9="CDF",$R$7,"TAUX INCONNU")))</f>
        <v>1</v>
      </c>
      <c r="K9" s="12" t="n">
        <f aca="false">IF(OR(ISTEXT(J9),ISTEXT(G9)),"—",G9*J9)</f>
        <v>2100</v>
      </c>
      <c r="L9" s="4" t="n">
        <f aca="false">COUNTIFS('Données brutes'!$A$5:$A$22,A9,'Données brutes'!$C$5:$C$22,C9,'Données brutes'!$D$5:$D$22,D9,'Données brutes'!$E$5:$E$22,G9,'Données brutes'!$F$5:$F$22,H9)</f>
        <v>2</v>
      </c>
      <c r="M9" s="4" t="str">
        <f aca="false">IF(L9&gt;1,"OUI - doublon exact, a verifier avant suppression","NON")</f>
        <v>OUI - doublon exact, a verifier avant suppression</v>
      </c>
      <c r="N9" s="4" t="str">
        <f aca="false">IF(ISBLANK('Données brutes'!G9),"—",'Données brutes'!G9)</f>
        <v>En cours</v>
      </c>
      <c r="O9" s="4" t="str">
        <f aca="false">IF((IF(E9="AMBIGU - A VERIFIER MANUELLEMENT",1,0)+IF(M9&lt;&gt;"NON",1,0)+IF(ISBLANK('Données brutes'!E9),1,0)+IF(ISBLANK('Données brutes'!G9),1,0))=0,"—",TRIM(IF(E9="AMBIGU - A VERIFIER MANUELLEMENT","Date ambigue; ","")&amp;IF(M9&lt;&gt;"NON","Doublon potentiel; ","")&amp;IF(ISBLANK('Données brutes'!E9),"Montant manquant; ","")&amp;IF(ISBLANK('Données brutes'!G9),"Statut manquant; ","")))</f>
        <v>Doublon potentiel;</v>
      </c>
      <c r="Q9" s="8" t="s">
        <v>80</v>
      </c>
      <c r="R9" s="8"/>
    </row>
    <row r="10" customFormat="false" ht="15" hidden="false" customHeight="false" outlineLevel="0" collapsed="false">
      <c r="A10" s="6" t="str">
        <f aca="false">'Données brutes'!A10</f>
        <v>PO-2025-015</v>
      </c>
      <c r="B10" s="6" t="str">
        <f aca="false">'Données brutes'!B10</f>
        <v>Uganda Freight Ltd</v>
      </c>
      <c r="C10" s="6" t="str">
        <f aca="false">'Données brutes'!C10</f>
        <v>Transport fret Kampala-Bunia</v>
      </c>
      <c r="D10" s="6" t="str">
        <f aca="false">'Données brutes'!D10</f>
        <v>20/03/2025</v>
      </c>
      <c r="E10" s="6" t="str">
        <f aca="false">IF(ISNUMBER(SEARCH("-",D10)),"ISO (AAAA-MM-JJ)",IF(VALUE(LEFT(D10,FIND("/",D10)-1))&gt;12,"JJ/MM/AAAA (1er nombre &gt; 12 = jour)",IF(VALUE(MID(D10,FIND("/",D10)+1,2))&gt;12,"MM/JJ/AAAA (2e nombre &gt; 12 = jour)","AMBIGU - A VERIFIER MANUELLEMENT")))</f>
        <v>JJ/MM/AAAA (1er nombre &gt; 12 = jour)</v>
      </c>
      <c r="F10" s="15" t="n">
        <f aca="false">IF(E10="ISO (AAAA-MM-JJ)",DATE(VALUE(LEFT(D10,4)),VALUE(MID(D10,6,2)),VALUE(RIGHT(D10,2))),IF(E10="JJ/MM/AAAA (1er nombre &gt; 12 = jour)",DATE(VALUE(RIGHT(D10,4)),VALUE(MID(D10,FIND("/",D10)+1,2)),VALUE(LEFT(D10,FIND("/",D10)-1))),IF(E10="MM/JJ/AAAA (2e nombre &gt; 12 = jour)",DATE(VALUE(RIGHT(D10,4)),VALUE(LEFT(D10,FIND("/",D10)-1)),VALUE(MID(D10,FIND("/",D10)+1,2))),"—")))</f>
        <v>45736</v>
      </c>
      <c r="G10" s="7" t="n">
        <f aca="false">IF(ISBLANK('Données brutes'!E10),"—",'Données brutes'!E10)</f>
        <v>1500</v>
      </c>
      <c r="H10" s="6" t="str">
        <f aca="false">'Données brutes'!F10</f>
        <v>EUR</v>
      </c>
      <c r="I10" s="6" t="str">
        <f aca="false">IF(H10="","(vide)",IF(OR(H10="USD",H10="US$",H10="$",H10="Dollars"),"USD",IF(H10="EUR","EUR",IF(H10="CDF","CDF",H10))))</f>
        <v>EUR</v>
      </c>
      <c r="J10" s="16" t="n">
        <f aca="false">IF(I10="USD",$R$5,IF(I10="EUR",$R$6,IF(I10="CDF",$R$7,"TAUX INCONNU")))</f>
        <v>1.08</v>
      </c>
      <c r="K10" s="17" t="n">
        <f aca="false">IF(OR(ISTEXT(J10),ISTEXT(G10)),"—",G10*J10)</f>
        <v>1620</v>
      </c>
      <c r="L10" s="6" t="n">
        <f aca="false">COUNTIFS('Données brutes'!$A$5:$A$22,A10,'Données brutes'!$C$5:$C$22,C10,'Données brutes'!$D$5:$D$22,D10,'Données brutes'!$E$5:$E$22,G10,'Données brutes'!$F$5:$F$22,H10)</f>
        <v>1</v>
      </c>
      <c r="M10" s="6" t="str">
        <f aca="false">IF(L10&gt;1,"OUI - doublon exact, a verifier avant suppression","NON")</f>
        <v>NON</v>
      </c>
      <c r="N10" s="6" t="str">
        <f aca="false">IF(ISBLANK('Données brutes'!G10),"—",'Données brutes'!G10)</f>
        <v>Livré</v>
      </c>
      <c r="O10" s="6" t="str">
        <f aca="false">IF((IF(E10="AMBIGU - A VERIFIER MANUELLEMENT",1,0)+IF(M10&lt;&gt;"NON",1,0)+IF(ISBLANK('Données brutes'!E10),1,0)+IF(ISBLANK('Données brutes'!G10),1,0))=0,"—",TRIM(IF(E10="AMBIGU - A VERIFIER MANUELLEMENT","Date ambigue; ","")&amp;IF(M10&lt;&gt;"NON","Doublon potentiel; ","")&amp;IF(ISBLANK('Données brutes'!E10),"Montant manquant; ","")&amp;IF(ISBLANK('Données brutes'!G10),"Statut manquant; ","")))</f>
        <v>—</v>
      </c>
      <c r="Q10" s="8"/>
      <c r="R10" s="8"/>
    </row>
    <row r="11" customFormat="false" ht="15" hidden="false" customHeight="false" outlineLevel="0" collapsed="false">
      <c r="A11" s="4" t="str">
        <f aca="false">'Données brutes'!A11</f>
        <v>PO-2025-016</v>
      </c>
      <c r="B11" s="4" t="str">
        <f aca="false">'Données brutes'!B11</f>
        <v>AfriMed Supplies</v>
      </c>
      <c r="C11" s="4" t="str">
        <f aca="false">'Données brutes'!C11</f>
        <v>Kits médicaux</v>
      </c>
      <c r="D11" s="4" t="str">
        <f aca="false">'Données brutes'!D11</f>
        <v>03/22/2025</v>
      </c>
      <c r="E11" s="4" t="str">
        <f aca="false">IF(ISNUMBER(SEARCH("-",D11)),"ISO (AAAA-MM-JJ)",IF(VALUE(LEFT(D11,FIND("/",D11)-1))&gt;12,"JJ/MM/AAAA (1er nombre &gt; 12 = jour)",IF(VALUE(MID(D11,FIND("/",D11)+1,2))&gt;12,"MM/JJ/AAAA (2e nombre &gt; 12 = jour)","AMBIGU - A VERIFIER MANUELLEMENT")))</f>
        <v>MM/JJ/AAAA (2e nombre &gt; 12 = jour)</v>
      </c>
      <c r="F11" s="10" t="n">
        <f aca="false">IF(E11="ISO (AAAA-MM-JJ)",DATE(VALUE(LEFT(D11,4)),VALUE(MID(D11,6,2)),VALUE(RIGHT(D11,2))),IF(E11="JJ/MM/AAAA (1er nombre &gt; 12 = jour)",DATE(VALUE(RIGHT(D11,4)),VALUE(MID(D11,FIND("/",D11)+1,2)),VALUE(LEFT(D11,FIND("/",D11)-1))),IF(E11="MM/JJ/AAAA (2e nombre &gt; 12 = jour)",DATE(VALUE(RIGHT(D11,4)),VALUE(LEFT(D11,FIND("/",D11)-1)),VALUE(MID(D11,FIND("/",D11)+1,2))),"—")))</f>
        <v>45738</v>
      </c>
      <c r="G11" s="5" t="n">
        <f aca="false">IF(ISBLANK('Données brutes'!E11),"—",'Données brutes'!E11)</f>
        <v>2200</v>
      </c>
      <c r="H11" s="4" t="str">
        <f aca="false">'Données brutes'!F11</f>
        <v>Dollars</v>
      </c>
      <c r="I11" s="4" t="str">
        <f aca="false">IF(H11="","(vide)",IF(OR(H11="USD",H11="US$",H11="$",H11="Dollars"),"USD",IF(H11="EUR","EUR",IF(H11="CDF","CDF",H11))))</f>
        <v>USD</v>
      </c>
      <c r="J11" s="11" t="n">
        <f aca="false">IF(I11="USD",$R$5,IF(I11="EUR",$R$6,IF(I11="CDF",$R$7,"TAUX INCONNU")))</f>
        <v>1</v>
      </c>
      <c r="K11" s="12" t="n">
        <f aca="false">IF(OR(ISTEXT(J11),ISTEXT(G11)),"—",G11*J11)</f>
        <v>2200</v>
      </c>
      <c r="L11" s="4" t="n">
        <f aca="false">COUNTIFS('Données brutes'!$A$5:$A$22,A11,'Données brutes'!$C$5:$C$22,C11,'Données brutes'!$D$5:$D$22,D11,'Données brutes'!$E$5:$E$22,G11,'Données brutes'!$F$5:$F$22,H11)</f>
        <v>1</v>
      </c>
      <c r="M11" s="4" t="str">
        <f aca="false">IF(L11&gt;1,"OUI - doublon exact, a verifier avant suppression","NON")</f>
        <v>NON</v>
      </c>
      <c r="N11" s="4" t="str">
        <f aca="false">IF(ISBLANK('Données brutes'!G11),"—",'Données brutes'!G11)</f>
        <v>Livré</v>
      </c>
      <c r="O11" s="4" t="str">
        <f aca="false">IF((IF(E11="AMBIGU - A VERIFIER MANUELLEMENT",1,0)+IF(M11&lt;&gt;"NON",1,0)+IF(ISBLANK('Données brutes'!E11),1,0)+IF(ISBLANK('Données brutes'!G11),1,0))=0,"—",TRIM(IF(E11="AMBIGU - A VERIFIER MANUELLEMENT","Date ambigue; ","")&amp;IF(M11&lt;&gt;"NON","Doublon potentiel; ","")&amp;IF(ISBLANK('Données brutes'!E11),"Montant manquant; ","")&amp;IF(ISBLANK('Données brutes'!G11),"Statut manquant; ","")))</f>
        <v>—</v>
      </c>
      <c r="Q11" s="8"/>
      <c r="R11" s="8"/>
    </row>
    <row r="12" customFormat="false" ht="15" hidden="false" customHeight="false" outlineLevel="0" collapsed="false">
      <c r="A12" s="6" t="str">
        <f aca="false">'Données brutes'!A12</f>
        <v>PO-2025-017</v>
      </c>
      <c r="B12" s="6" t="str">
        <f aca="false">'Données brutes'!B12</f>
        <v>Bunia Fuel Co.</v>
      </c>
      <c r="C12" s="6" t="str">
        <f aca="false">'Données brutes'!C12</f>
        <v>Carburant essence</v>
      </c>
      <c r="D12" s="6" t="str">
        <f aca="false">'Données brutes'!D12</f>
        <v>2025-03-25</v>
      </c>
      <c r="E12" s="6" t="str">
        <f aca="false">IF(ISNUMBER(SEARCH("-",D12)),"ISO (AAAA-MM-JJ)",IF(VALUE(LEFT(D12,FIND("/",D12)-1))&gt;12,"JJ/MM/AAAA (1er nombre &gt; 12 = jour)",IF(VALUE(MID(D12,FIND("/",D12)+1,2))&gt;12,"MM/JJ/AAAA (2e nombre &gt; 12 = jour)","AMBIGU - A VERIFIER MANUELLEMENT")))</f>
        <v>ISO (AAAA-MM-JJ)</v>
      </c>
      <c r="F12" s="15" t="n">
        <f aca="false">IF(E12="ISO (AAAA-MM-JJ)",DATE(VALUE(LEFT(D12,4)),VALUE(MID(D12,6,2)),VALUE(RIGHT(D12,2))),IF(E12="JJ/MM/AAAA (1er nombre &gt; 12 = jour)",DATE(VALUE(RIGHT(D12,4)),VALUE(MID(D12,FIND("/",D12)+1,2)),VALUE(LEFT(D12,FIND("/",D12)-1))),IF(E12="MM/JJ/AAAA (2e nombre &gt; 12 = jour)",DATE(VALUE(RIGHT(D12,4)),VALUE(LEFT(D12,FIND("/",D12)-1)),VALUE(MID(D12,FIND("/",D12)+1,2))),"—")))</f>
        <v>45741</v>
      </c>
      <c r="G12" s="7" t="n">
        <f aca="false">IF(ISBLANK('Données brutes'!E12),"—",'Données brutes'!E12)</f>
        <v>610000</v>
      </c>
      <c r="H12" s="6" t="str">
        <f aca="false">'Données brutes'!F12</f>
        <v>CDF</v>
      </c>
      <c r="I12" s="6" t="str">
        <f aca="false">IF(H12="","(vide)",IF(OR(H12="USD",H12="US$",H12="$",H12="Dollars"),"USD",IF(H12="EUR","EUR",IF(H12="CDF","CDF",H12))))</f>
        <v>CDF</v>
      </c>
      <c r="J12" s="16" t="n">
        <f aca="false">IF(I12="USD",$R$5,IF(I12="EUR",$R$6,IF(I12="CDF",$R$7,"TAUX INCONNU")))</f>
        <v>0.00036</v>
      </c>
      <c r="K12" s="17" t="n">
        <f aca="false">IF(OR(ISTEXT(J12),ISTEXT(G12)),"—",G12*J12)</f>
        <v>219.6</v>
      </c>
      <c r="L12" s="6" t="n">
        <f aca="false">COUNTIFS('Données brutes'!$A$5:$A$22,A12,'Données brutes'!$C$5:$C$22,C12,'Données brutes'!$D$5:$D$22,D12,'Données brutes'!$E$5:$E$22,G12,'Données brutes'!$F$5:$F$22,H12)</f>
        <v>1</v>
      </c>
      <c r="M12" s="6" t="str">
        <f aca="false">IF(L12&gt;1,"OUI - doublon exact, a verifier avant suppression","NON")</f>
        <v>NON</v>
      </c>
      <c r="N12" s="6" t="str">
        <f aca="false">IF(ISBLANK('Données brutes'!G12),"—",'Données brutes'!G12)</f>
        <v>Livré</v>
      </c>
      <c r="O12" s="6" t="str">
        <f aca="false">IF((IF(E12="AMBIGU - A VERIFIER MANUELLEMENT",1,0)+IF(M12&lt;&gt;"NON",1,0)+IF(ISBLANK('Données brutes'!E12),1,0)+IF(ISBLANK('Données brutes'!G12),1,0))=0,"—",TRIM(IF(E12="AMBIGU - A VERIFIER MANUELLEMENT","Date ambigue; ","")&amp;IF(M12&lt;&gt;"NON","Doublon potentiel; ","")&amp;IF(ISBLANK('Données brutes'!E12),"Montant manquant; ","")&amp;IF(ISBLANK('Données brutes'!G12),"Statut manquant; ","")))</f>
        <v>—</v>
      </c>
      <c r="Q12" s="8"/>
      <c r="R12" s="8"/>
    </row>
    <row r="13" customFormat="false" ht="15" hidden="false" customHeight="false" outlineLevel="0" collapsed="false">
      <c r="A13" s="4" t="str">
        <f aca="false">'Données brutes'!A13</f>
        <v>PO-2025-018</v>
      </c>
      <c r="B13" s="4" t="str">
        <f aca="false">'Données brutes'!B13</f>
        <v>Kivu Motors SARL</v>
      </c>
      <c r="C13" s="4" t="str">
        <f aca="false">'Données brutes'!C13</f>
        <v>Batteries véhicule</v>
      </c>
      <c r="D13" s="4" t="str">
        <f aca="false">'Données brutes'!D13</f>
        <v>05/04/2025</v>
      </c>
      <c r="E13" s="4" t="str">
        <f aca="false">IF(ISNUMBER(SEARCH("-",D13)),"ISO (AAAA-MM-JJ)",IF(VALUE(LEFT(D13,FIND("/",D13)-1))&gt;12,"JJ/MM/AAAA (1er nombre &gt; 12 = jour)",IF(VALUE(MID(D13,FIND("/",D13)+1,2))&gt;12,"MM/JJ/AAAA (2e nombre &gt; 12 = jour)","AMBIGU - A VERIFIER MANUELLEMENT")))</f>
        <v>AMBIGU - A VERIFIER MANUELLEMENT</v>
      </c>
      <c r="F13" s="10" t="str">
        <f aca="false">IF(E13="ISO (AAAA-MM-JJ)",DATE(VALUE(LEFT(D13,4)),VALUE(MID(D13,6,2)),VALUE(RIGHT(D13,2))),IF(E13="JJ/MM/AAAA (1er nombre &gt; 12 = jour)",DATE(VALUE(RIGHT(D13,4)),VALUE(MID(D13,FIND("/",D13)+1,2)),VALUE(LEFT(D13,FIND("/",D13)-1))),IF(E13="MM/JJ/AAAA (2e nombre &gt; 12 = jour)",DATE(VALUE(RIGHT(D13,4)),VALUE(LEFT(D13,FIND("/",D13)-1)),VALUE(MID(D13,FIND("/",D13)+1,2))),"—")))</f>
        <v>—</v>
      </c>
      <c r="G13" s="5" t="n">
        <f aca="false">IF(ISBLANK('Données brutes'!E13),"—",'Données brutes'!E13)</f>
        <v>890</v>
      </c>
      <c r="H13" s="4" t="str">
        <f aca="false">'Données brutes'!F13</f>
        <v>$</v>
      </c>
      <c r="I13" s="4" t="str">
        <f aca="false">IF(H13="","(vide)",IF(OR(H13="USD",H13="US$",H13="$",H13="Dollars"),"USD",IF(H13="EUR","EUR",IF(H13="CDF","CDF",H13))))</f>
        <v>USD</v>
      </c>
      <c r="J13" s="11" t="n">
        <f aca="false">IF(I13="USD",$R$5,IF(I13="EUR",$R$6,IF(I13="CDF",$R$7,"TAUX INCONNU")))</f>
        <v>1</v>
      </c>
      <c r="K13" s="12" t="n">
        <f aca="false">IF(OR(ISTEXT(J13),ISTEXT(G13)),"—",G13*J13)</f>
        <v>890</v>
      </c>
      <c r="L13" s="4" t="n">
        <f aca="false">COUNTIFS('Données brutes'!$A$5:$A$22,A13,'Données brutes'!$C$5:$C$22,C13,'Données brutes'!$D$5:$D$22,D13,'Données brutes'!$E$5:$E$22,G13,'Données brutes'!$F$5:$F$22,H13)</f>
        <v>1</v>
      </c>
      <c r="M13" s="4" t="str">
        <f aca="false">IF(L13&gt;1,"OUI - doublon exact, a verifier avant suppression","NON")</f>
        <v>NON</v>
      </c>
      <c r="N13" s="4" t="str">
        <f aca="false">IF(ISBLANK('Données brutes'!G13),"—",'Données brutes'!G13)</f>
        <v>Livré</v>
      </c>
      <c r="O13" s="4" t="str">
        <f aca="false">IF((IF(E13="AMBIGU - A VERIFIER MANUELLEMENT",1,0)+IF(M13&lt;&gt;"NON",1,0)+IF(ISBLANK('Données brutes'!E13),1,0)+IF(ISBLANK('Données brutes'!G13),1,0))=0,"—",TRIM(IF(E13="AMBIGU - A VERIFIER MANUELLEMENT","Date ambigue; ","")&amp;IF(M13&lt;&gt;"NON","Doublon potentiel; ","")&amp;IF(ISBLANK('Données brutes'!E13),"Montant manquant; ","")&amp;IF(ISBLANK('Données brutes'!G13),"Statut manquant; ","")))</f>
        <v>Date ambigue;</v>
      </c>
      <c r="Q13" s="8"/>
      <c r="R13" s="8"/>
    </row>
    <row r="14" customFormat="false" ht="15" hidden="false" customHeight="false" outlineLevel="0" collapsed="false">
      <c r="A14" s="6" t="str">
        <f aca="false">'Données brutes'!A14</f>
        <v>PO-2025-018</v>
      </c>
      <c r="B14" s="6" t="str">
        <f aca="false">'Données brutes'!B14</f>
        <v>Kivu Motors SARL</v>
      </c>
      <c r="C14" s="6" t="str">
        <f aca="false">'Données brutes'!C14</f>
        <v>Batteries véhicule</v>
      </c>
      <c r="D14" s="6" t="str">
        <f aca="false">'Données brutes'!D14</f>
        <v>14/04/2025</v>
      </c>
      <c r="E14" s="6" t="str">
        <f aca="false">IF(ISNUMBER(SEARCH("-",D14)),"ISO (AAAA-MM-JJ)",IF(VALUE(LEFT(D14,FIND("/",D14)-1))&gt;12,"JJ/MM/AAAA (1er nombre &gt; 12 = jour)",IF(VALUE(MID(D14,FIND("/",D14)+1,2))&gt;12,"MM/JJ/AAAA (2e nombre &gt; 12 = jour)","AMBIGU - A VERIFIER MANUELLEMENT")))</f>
        <v>JJ/MM/AAAA (1er nombre &gt; 12 = jour)</v>
      </c>
      <c r="F14" s="15" t="n">
        <f aca="false">IF(E14="ISO (AAAA-MM-JJ)",DATE(VALUE(LEFT(D14,4)),VALUE(MID(D14,6,2)),VALUE(RIGHT(D14,2))),IF(E14="JJ/MM/AAAA (1er nombre &gt; 12 = jour)",DATE(VALUE(RIGHT(D14,4)),VALUE(MID(D14,FIND("/",D14)+1,2)),VALUE(LEFT(D14,FIND("/",D14)-1))),IF(E14="MM/JJ/AAAA (2e nombre &gt; 12 = jour)",DATE(VALUE(RIGHT(D14,4)),VALUE(LEFT(D14,FIND("/",D14)-1)),VALUE(MID(D14,FIND("/",D14)+1,2))),"—")))</f>
        <v>45761</v>
      </c>
      <c r="G14" s="7" t="n">
        <f aca="false">IF(ISBLANK('Données brutes'!E14),"—",'Données brutes'!E14)</f>
        <v>890</v>
      </c>
      <c r="H14" s="6" t="str">
        <f aca="false">'Données brutes'!F14</f>
        <v>$</v>
      </c>
      <c r="I14" s="6" t="str">
        <f aca="false">IF(H14="","(vide)",IF(OR(H14="USD",H14="US$",H14="$",H14="Dollars"),"USD",IF(H14="EUR","EUR",IF(H14="CDF","CDF",H14))))</f>
        <v>USD</v>
      </c>
      <c r="J14" s="16" t="n">
        <f aca="false">IF(I14="USD",$R$5,IF(I14="EUR",$R$6,IF(I14="CDF",$R$7,"TAUX INCONNU")))</f>
        <v>1</v>
      </c>
      <c r="K14" s="17" t="n">
        <f aca="false">IF(OR(ISTEXT(J14),ISTEXT(G14)),"—",G14*J14)</f>
        <v>890</v>
      </c>
      <c r="L14" s="6" t="n">
        <f aca="false">COUNTIFS('Données brutes'!$A$5:$A$22,A14,'Données brutes'!$C$5:$C$22,C14,'Données brutes'!$D$5:$D$22,D14,'Données brutes'!$E$5:$E$22,G14,'Données brutes'!$F$5:$F$22,H14)</f>
        <v>1</v>
      </c>
      <c r="M14" s="6" t="str">
        <f aca="false">IF(L14&gt;1,"OUI - doublon exact, a verifier avant suppression","NON")</f>
        <v>NON</v>
      </c>
      <c r="N14" s="6" t="str">
        <f aca="false">IF(ISBLANK('Données brutes'!G14),"—",'Données brutes'!G14)</f>
        <v>Livré</v>
      </c>
      <c r="O14" s="6" t="str">
        <f aca="false">IF((IF(E14="AMBIGU - A VERIFIER MANUELLEMENT",1,0)+IF(M14&lt;&gt;"NON",1,0)+IF(ISBLANK('Données brutes'!E14),1,0)+IF(ISBLANK('Données brutes'!G14),1,0))=0,"—",TRIM(IF(E14="AMBIGU - A VERIFIER MANUELLEMENT","Date ambigue; ","")&amp;IF(M14&lt;&gt;"NON","Doublon potentiel; ","")&amp;IF(ISBLANK('Données brutes'!E14),"Montant manquant; ","")&amp;IF(ISBLANK('Données brutes'!G14),"Statut manquant; ","")))</f>
        <v>—</v>
      </c>
    </row>
    <row r="15" customFormat="false" ht="15" hidden="false" customHeight="false" outlineLevel="0" collapsed="false">
      <c r="A15" s="4" t="str">
        <f aca="false">'Données brutes'!A15</f>
        <v>PO-2025-019</v>
      </c>
      <c r="B15" s="4" t="str">
        <f aca="false">'Données brutes'!B15</f>
        <v>Uganda Freight Ltd</v>
      </c>
      <c r="C15" s="4" t="str">
        <f aca="false">'Données brutes'!C15</f>
        <v>Transport fret Kampala-Bunia</v>
      </c>
      <c r="D15" s="4" t="str">
        <f aca="false">'Données brutes'!D15</f>
        <v>27/03/2025</v>
      </c>
      <c r="E15" s="4" t="str">
        <f aca="false">IF(ISNUMBER(SEARCH("-",D15)),"ISO (AAAA-MM-JJ)",IF(VALUE(LEFT(D15,FIND("/",D15)-1))&gt;12,"JJ/MM/AAAA (1er nombre &gt; 12 = jour)",IF(VALUE(MID(D15,FIND("/",D15)+1,2))&gt;12,"MM/JJ/AAAA (2e nombre &gt; 12 = jour)","AMBIGU - A VERIFIER MANUELLEMENT")))</f>
        <v>JJ/MM/AAAA (1er nombre &gt; 12 = jour)</v>
      </c>
      <c r="F15" s="10" t="n">
        <f aca="false">IF(E15="ISO (AAAA-MM-JJ)",DATE(VALUE(LEFT(D15,4)),VALUE(MID(D15,6,2)),VALUE(RIGHT(D15,2))),IF(E15="JJ/MM/AAAA (1er nombre &gt; 12 = jour)",DATE(VALUE(RIGHT(D15,4)),VALUE(MID(D15,FIND("/",D15)+1,2)),VALUE(LEFT(D15,FIND("/",D15)-1))),IF(E15="MM/JJ/AAAA (2e nombre &gt; 12 = jour)",DATE(VALUE(RIGHT(D15,4)),VALUE(LEFT(D15,FIND("/",D15)-1)),VALUE(MID(D15,FIND("/",D15)+1,2))),"—")))</f>
        <v>45743</v>
      </c>
      <c r="G15" s="5" t="n">
        <f aca="false">IF(ISBLANK('Données brutes'!E15),"—",'Données brutes'!E15)</f>
        <v>1500</v>
      </c>
      <c r="H15" s="4" t="str">
        <f aca="false">'Données brutes'!F15</f>
        <v>EUR</v>
      </c>
      <c r="I15" s="4" t="str">
        <f aca="false">IF(H15="","(vide)",IF(OR(H15="USD",H15="US$",H15="$",H15="Dollars"),"USD",IF(H15="EUR","EUR",IF(H15="CDF","CDF",H15))))</f>
        <v>EUR</v>
      </c>
      <c r="J15" s="11" t="n">
        <f aca="false">IF(I15="USD",$R$5,IF(I15="EUR",$R$6,IF(I15="CDF",$R$7,"TAUX INCONNU")))</f>
        <v>1.08</v>
      </c>
      <c r="K15" s="12" t="n">
        <f aca="false">IF(OR(ISTEXT(J15),ISTEXT(G15)),"—",G15*J15)</f>
        <v>1620</v>
      </c>
      <c r="L15" s="4" t="n">
        <f aca="false">COUNTIFS('Données brutes'!$A$5:$A$22,A15,'Données brutes'!$C$5:$C$22,C15,'Données brutes'!$D$5:$D$22,D15,'Données brutes'!$E$5:$E$22,G15,'Données brutes'!$F$5:$F$22,H15)</f>
        <v>1</v>
      </c>
      <c r="M15" s="4" t="str">
        <f aca="false">IF(L15&gt;1,"OUI - doublon exact, a verifier avant suppression","NON")</f>
        <v>NON</v>
      </c>
      <c r="N15" s="4" t="str">
        <f aca="false">IF(ISBLANK('Données brutes'!G15),"—",'Données brutes'!G15)</f>
        <v>Livré</v>
      </c>
      <c r="O15" s="4" t="str">
        <f aca="false">IF((IF(E15="AMBIGU - A VERIFIER MANUELLEMENT",1,0)+IF(M15&lt;&gt;"NON",1,0)+IF(ISBLANK('Données brutes'!E15),1,0)+IF(ISBLANK('Données brutes'!G15),1,0))=0,"—",TRIM(IF(E15="AMBIGU - A VERIFIER MANUELLEMENT","Date ambigue; ","")&amp;IF(M15&lt;&gt;"NON","Doublon potentiel; ","")&amp;IF(ISBLANK('Données brutes'!E15),"Montant manquant; ","")&amp;IF(ISBLANK('Données brutes'!G15),"Statut manquant; ","")))</f>
        <v>—</v>
      </c>
    </row>
    <row r="16" customFormat="false" ht="15" hidden="false" customHeight="false" outlineLevel="0" collapsed="false">
      <c r="A16" s="6" t="str">
        <f aca="false">'Données brutes'!A16</f>
        <v>PO-2025-020</v>
      </c>
      <c r="B16" s="6" t="str">
        <f aca="false">'Données brutes'!B16</f>
        <v>AfriMed Supplies</v>
      </c>
      <c r="C16" s="6" t="str">
        <f aca="false">'Données brutes'!C16</f>
        <v>Consommables labo</v>
      </c>
      <c r="D16" s="6" t="str">
        <f aca="false">'Données brutes'!D16</f>
        <v>2025-04-02</v>
      </c>
      <c r="E16" s="6" t="str">
        <f aca="false">IF(ISNUMBER(SEARCH("-",D16)),"ISO (AAAA-MM-JJ)",IF(VALUE(LEFT(D16,FIND("/",D16)-1))&gt;12,"JJ/MM/AAAA (1er nombre &gt; 12 = jour)",IF(VALUE(MID(D16,FIND("/",D16)+1,2))&gt;12,"MM/JJ/AAAA (2e nombre &gt; 12 = jour)","AMBIGU - A VERIFIER MANUELLEMENT")))</f>
        <v>ISO (AAAA-MM-JJ)</v>
      </c>
      <c r="F16" s="15" t="n">
        <f aca="false">IF(E16="ISO (AAAA-MM-JJ)",DATE(VALUE(LEFT(D16,4)),VALUE(MID(D16,6,2)),VALUE(RIGHT(D16,2))),IF(E16="JJ/MM/AAAA (1er nombre &gt; 12 = jour)",DATE(VALUE(RIGHT(D16,4)),VALUE(MID(D16,FIND("/",D16)+1,2)),VALUE(LEFT(D16,FIND("/",D16)-1))),IF(E16="MM/JJ/AAAA (2e nombre &gt; 12 = jour)",DATE(VALUE(RIGHT(D16,4)),VALUE(LEFT(D16,FIND("/",D16)-1)),VALUE(MID(D16,FIND("/",D16)+1,2))),"—")))</f>
        <v>45749</v>
      </c>
      <c r="G16" s="7" t="n">
        <f aca="false">IF(ISBLANK('Données brutes'!E16),"—",'Données brutes'!E16)</f>
        <v>1780</v>
      </c>
      <c r="H16" s="6" t="str">
        <f aca="false">'Données brutes'!F16</f>
        <v>USD</v>
      </c>
      <c r="I16" s="6" t="str">
        <f aca="false">IF(H16="","(vide)",IF(OR(H16="USD",H16="US$",H16="$",H16="Dollars"),"USD",IF(H16="EUR","EUR",IF(H16="CDF","CDF",H16))))</f>
        <v>USD</v>
      </c>
      <c r="J16" s="16" t="n">
        <f aca="false">IF(I16="USD",$R$5,IF(I16="EUR",$R$6,IF(I16="CDF",$R$7,"TAUX INCONNU")))</f>
        <v>1</v>
      </c>
      <c r="K16" s="17" t="n">
        <f aca="false">IF(OR(ISTEXT(J16),ISTEXT(G16)),"—",G16*J16)</f>
        <v>1780</v>
      </c>
      <c r="L16" s="6" t="n">
        <f aca="false">COUNTIFS('Données brutes'!$A$5:$A$22,A16,'Données brutes'!$C$5:$C$22,C16,'Données brutes'!$D$5:$D$22,D16,'Données brutes'!$E$5:$E$22,G16,'Données brutes'!$F$5:$F$22,H16)</f>
        <v>1</v>
      </c>
      <c r="M16" s="6" t="str">
        <f aca="false">IF(L16&gt;1,"OUI - doublon exact, a verifier avant suppression","NON")</f>
        <v>NON</v>
      </c>
      <c r="N16" s="6" t="str">
        <f aca="false">IF(ISBLANK('Données brutes'!G16),"—",'Données brutes'!G16)</f>
        <v>En cours</v>
      </c>
      <c r="O16" s="6" t="str">
        <f aca="false">IF((IF(E16="AMBIGU - A VERIFIER MANUELLEMENT",1,0)+IF(M16&lt;&gt;"NON",1,0)+IF(ISBLANK('Données brutes'!E16),1,0)+IF(ISBLANK('Données brutes'!G16),1,0))=0,"—",TRIM(IF(E16="AMBIGU - A VERIFIER MANUELLEMENT","Date ambigue; ","")&amp;IF(M16&lt;&gt;"NON","Doublon potentiel; ","")&amp;IF(ISBLANK('Données brutes'!E16),"Montant manquant; ","")&amp;IF(ISBLANK('Données brutes'!G16),"Statut manquant; ","")))</f>
        <v>—</v>
      </c>
    </row>
    <row r="17" customFormat="false" ht="15" hidden="false" customHeight="false" outlineLevel="0" collapsed="false">
      <c r="A17" s="4" t="str">
        <f aca="false">'Données brutes'!A17</f>
        <v>PO-2025-021</v>
      </c>
      <c r="B17" s="4" t="str">
        <f aca="false">'Données brutes'!B17</f>
        <v>Bunia Fuel Co.</v>
      </c>
      <c r="C17" s="4" t="str">
        <f aca="false">'Données brutes'!C17</f>
        <v>Carburant diesel</v>
      </c>
      <c r="D17" s="4" t="str">
        <f aca="false">'Données brutes'!D17</f>
        <v>05/04/2025</v>
      </c>
      <c r="E17" s="4" t="str">
        <f aca="false">IF(ISNUMBER(SEARCH("-",D17)),"ISO (AAAA-MM-JJ)",IF(VALUE(LEFT(D17,FIND("/",D17)-1))&gt;12,"JJ/MM/AAAA (1er nombre &gt; 12 = jour)",IF(VALUE(MID(D17,FIND("/",D17)+1,2))&gt;12,"MM/JJ/AAAA (2e nombre &gt; 12 = jour)","AMBIGU - A VERIFIER MANUELLEMENT")))</f>
        <v>AMBIGU - A VERIFIER MANUELLEMENT</v>
      </c>
      <c r="F17" s="10" t="str">
        <f aca="false">IF(E17="ISO (AAAA-MM-JJ)",DATE(VALUE(LEFT(D17,4)),VALUE(MID(D17,6,2)),VALUE(RIGHT(D17,2))),IF(E17="JJ/MM/AAAA (1er nombre &gt; 12 = jour)",DATE(VALUE(RIGHT(D17,4)),VALUE(MID(D17,FIND("/",D17)+1,2)),VALUE(LEFT(D17,FIND("/",D17)-1))),IF(E17="MM/JJ/AAAA (2e nombre &gt; 12 = jour)",DATE(VALUE(RIGHT(D17,4)),VALUE(LEFT(D17,FIND("/",D17)-1)),VALUE(MID(D17,FIND("/",D17)+1,2))),"—")))</f>
        <v>—</v>
      </c>
      <c r="G17" s="5" t="n">
        <f aca="false">IF(ISBLANK('Données brutes'!E17),"—",'Données brutes'!E17)</f>
        <v>940000</v>
      </c>
      <c r="H17" s="4" t="str">
        <f aca="false">'Données brutes'!F17</f>
        <v>CDF</v>
      </c>
      <c r="I17" s="4" t="str">
        <f aca="false">IF(H17="","(vide)",IF(OR(H17="USD",H17="US$",H17="$",H17="Dollars"),"USD",IF(H17="EUR","EUR",IF(H17="CDF","CDF",H17))))</f>
        <v>CDF</v>
      </c>
      <c r="J17" s="11" t="n">
        <f aca="false">IF(I17="USD",$R$5,IF(I17="EUR",$R$6,IF(I17="CDF",$R$7,"TAUX INCONNU")))</f>
        <v>0.00036</v>
      </c>
      <c r="K17" s="12" t="n">
        <f aca="false">IF(OR(ISTEXT(J17),ISTEXT(G17)),"—",G17*J17)</f>
        <v>338.4</v>
      </c>
      <c r="L17" s="4" t="n">
        <f aca="false">COUNTIFS('Données brutes'!$A$5:$A$22,A17,'Données brutes'!$C$5:$C$22,C17,'Données brutes'!$D$5:$D$22,D17,'Données brutes'!$E$5:$E$22,G17,'Données brutes'!$F$5:$F$22,H17)</f>
        <v>1</v>
      </c>
      <c r="M17" s="4" t="str">
        <f aca="false">IF(L17&gt;1,"OUI - doublon exact, a verifier avant suppression","NON")</f>
        <v>NON</v>
      </c>
      <c r="N17" s="4" t="str">
        <f aca="false">IF(ISBLANK('Données brutes'!G17),"—",'Données brutes'!G17)</f>
        <v>En cours</v>
      </c>
      <c r="O17" s="4" t="str">
        <f aca="false">IF((IF(E17="AMBIGU - A VERIFIER MANUELLEMENT",1,0)+IF(M17&lt;&gt;"NON",1,0)+IF(ISBLANK('Données brutes'!E17),1,0)+IF(ISBLANK('Données brutes'!G17),1,0))=0,"—",TRIM(IF(E17="AMBIGU - A VERIFIER MANUELLEMENT","Date ambigue; ","")&amp;IF(M17&lt;&gt;"NON","Doublon potentiel; ","")&amp;IF(ISBLANK('Données brutes'!E17),"Montant manquant; ","")&amp;IF(ISBLANK('Données brutes'!G17),"Statut manquant; ","")))</f>
        <v>Date ambigue;</v>
      </c>
    </row>
    <row r="18" customFormat="false" ht="15" hidden="false" customHeight="false" outlineLevel="0" collapsed="false">
      <c r="A18" s="6" t="str">
        <f aca="false">'Données brutes'!A18</f>
        <v>PO-2025-022</v>
      </c>
      <c r="B18" s="6" t="str">
        <f aca="false">'Données brutes'!B18</f>
        <v>Kivu Motors SARL</v>
      </c>
      <c r="C18" s="6" t="str">
        <f aca="false">'Données brutes'!C18</f>
        <v>Filtres à huile</v>
      </c>
      <c r="D18" s="6" t="str">
        <f aca="false">'Données brutes'!D18</f>
        <v>09/04/2025</v>
      </c>
      <c r="E18" s="6" t="str">
        <f aca="false">IF(ISNUMBER(SEARCH("-",D18)),"ISO (AAAA-MM-JJ)",IF(VALUE(LEFT(D18,FIND("/",D18)-1))&gt;12,"JJ/MM/AAAA (1er nombre &gt; 12 = jour)",IF(VALUE(MID(D18,FIND("/",D18)+1,2))&gt;12,"MM/JJ/AAAA (2e nombre &gt; 12 = jour)","AMBIGU - A VERIFIER MANUELLEMENT")))</f>
        <v>AMBIGU - A VERIFIER MANUELLEMENT</v>
      </c>
      <c r="F18" s="15" t="str">
        <f aca="false">IF(E18="ISO (AAAA-MM-JJ)",DATE(VALUE(LEFT(D18,4)),VALUE(MID(D18,6,2)),VALUE(RIGHT(D18,2))),IF(E18="JJ/MM/AAAA (1er nombre &gt; 12 = jour)",DATE(VALUE(RIGHT(D18,4)),VALUE(MID(D18,FIND("/",D18)+1,2)),VALUE(LEFT(D18,FIND("/",D18)-1))),IF(E18="MM/JJ/AAAA (2e nombre &gt; 12 = jour)",DATE(VALUE(RIGHT(D18,4)),VALUE(LEFT(D18,FIND("/",D18)-1)),VALUE(MID(D18,FIND("/",D18)+1,2))),"—")))</f>
        <v>—</v>
      </c>
      <c r="G18" s="7" t="n">
        <f aca="false">IF(ISBLANK('Données brutes'!E18),"—",'Données brutes'!E18)</f>
        <v>340</v>
      </c>
      <c r="H18" s="6" t="str">
        <f aca="false">'Données brutes'!F18</f>
        <v>US$</v>
      </c>
      <c r="I18" s="6" t="str">
        <f aca="false">IF(H18="","(vide)",IF(OR(H18="USD",H18="US$",H18="$",H18="Dollars"),"USD",IF(H18="EUR","EUR",IF(H18="CDF","CDF",H18))))</f>
        <v>USD</v>
      </c>
      <c r="J18" s="16" t="n">
        <f aca="false">IF(I18="USD",$R$5,IF(I18="EUR",$R$6,IF(I18="CDF",$R$7,"TAUX INCONNU")))</f>
        <v>1</v>
      </c>
      <c r="K18" s="17" t="n">
        <f aca="false">IF(OR(ISTEXT(J18),ISTEXT(G18)),"—",G18*J18)</f>
        <v>340</v>
      </c>
      <c r="L18" s="6" t="n">
        <f aca="false">COUNTIFS('Données brutes'!$A$5:$A$22,A18,'Données brutes'!$C$5:$C$22,C18,'Données brutes'!$D$5:$D$22,D18,'Données brutes'!$E$5:$E$22,G18,'Données brutes'!$F$5:$F$22,H18)</f>
        <v>1</v>
      </c>
      <c r="M18" s="6" t="str">
        <f aca="false">IF(L18&gt;1,"OUI - doublon exact, a verifier avant suppression","NON")</f>
        <v>NON</v>
      </c>
      <c r="N18" s="6" t="str">
        <f aca="false">IF(ISBLANK('Données brutes'!G18),"—",'Données brutes'!G18)</f>
        <v>Livré</v>
      </c>
      <c r="O18" s="6" t="str">
        <f aca="false">IF((IF(E18="AMBIGU - A VERIFIER MANUELLEMENT",1,0)+IF(M18&lt;&gt;"NON",1,0)+IF(ISBLANK('Données brutes'!E18),1,0)+IF(ISBLANK('Données brutes'!G18),1,0))=0,"—",TRIM(IF(E18="AMBIGU - A VERIFIER MANUELLEMENT","Date ambigue; ","")&amp;IF(M18&lt;&gt;"NON","Doublon potentiel; ","")&amp;IF(ISBLANK('Données brutes'!E18),"Montant manquant; ","")&amp;IF(ISBLANK('Données brutes'!G18),"Statut manquant; ","")))</f>
        <v>Date ambigue;</v>
      </c>
    </row>
    <row r="19" customFormat="false" ht="15" hidden="false" customHeight="false" outlineLevel="0" collapsed="false">
      <c r="A19" s="4" t="str">
        <f aca="false">'Données brutes'!A19</f>
        <v>PO-2025-023</v>
      </c>
      <c r="B19" s="4" t="str">
        <f aca="false">'Données brutes'!B19</f>
        <v>Goma Electronics</v>
      </c>
      <c r="C19" s="4" t="str">
        <f aca="false">'Données brutes'!C19</f>
        <v>Ordinateurs portables</v>
      </c>
      <c r="D19" s="4" t="str">
        <f aca="false">'Données brutes'!D19</f>
        <v>2025-04-11</v>
      </c>
      <c r="E19" s="4" t="str">
        <f aca="false">IF(ISNUMBER(SEARCH("-",D19)),"ISO (AAAA-MM-JJ)",IF(VALUE(LEFT(D19,FIND("/",D19)-1))&gt;12,"JJ/MM/AAAA (1er nombre &gt; 12 = jour)",IF(VALUE(MID(D19,FIND("/",D19)+1,2))&gt;12,"MM/JJ/AAAA (2e nombre &gt; 12 = jour)","AMBIGU - A VERIFIER MANUELLEMENT")))</f>
        <v>ISO (AAAA-MM-JJ)</v>
      </c>
      <c r="F19" s="10" t="n">
        <f aca="false">IF(E19="ISO (AAAA-MM-JJ)",DATE(VALUE(LEFT(D19,4)),VALUE(MID(D19,6,2)),VALUE(RIGHT(D19,2))),IF(E19="JJ/MM/AAAA (1er nombre &gt; 12 = jour)",DATE(VALUE(RIGHT(D19,4)),VALUE(MID(D19,FIND("/",D19)+1,2)),VALUE(LEFT(D19,FIND("/",D19)-1))),IF(E19="MM/JJ/AAAA (2e nombre &gt; 12 = jour)",DATE(VALUE(RIGHT(D19,4)),VALUE(LEFT(D19,FIND("/",D19)-1)),VALUE(MID(D19,FIND("/",D19)+1,2))),"—")))</f>
        <v>45758</v>
      </c>
      <c r="G19" s="5" t="n">
        <f aca="false">IF(ISBLANK('Données brutes'!E19),"—",'Données brutes'!E19)</f>
        <v>4200</v>
      </c>
      <c r="H19" s="4" t="str">
        <f aca="false">'Données brutes'!F19</f>
        <v>USD</v>
      </c>
      <c r="I19" s="4" t="str">
        <f aca="false">IF(H19="","(vide)",IF(OR(H19="USD",H19="US$",H19="$",H19="Dollars"),"USD",IF(H19="EUR","EUR",IF(H19="CDF","CDF",H19))))</f>
        <v>USD</v>
      </c>
      <c r="J19" s="11" t="n">
        <f aca="false">IF(I19="USD",$R$5,IF(I19="EUR",$R$6,IF(I19="CDF",$R$7,"TAUX INCONNU")))</f>
        <v>1</v>
      </c>
      <c r="K19" s="12" t="n">
        <f aca="false">IF(OR(ISTEXT(J19),ISTEXT(G19)),"—",G19*J19)</f>
        <v>4200</v>
      </c>
      <c r="L19" s="4" t="n">
        <f aca="false">COUNTIFS('Données brutes'!$A$5:$A$22,A19,'Données brutes'!$C$5:$C$22,C19,'Données brutes'!$D$5:$D$22,D19,'Données brutes'!$E$5:$E$22,G19,'Données brutes'!$F$5:$F$22,H19)</f>
        <v>1</v>
      </c>
      <c r="M19" s="4" t="str">
        <f aca="false">IF(L19&gt;1,"OUI - doublon exact, a verifier avant suppression","NON")</f>
        <v>NON</v>
      </c>
      <c r="N19" s="4" t="str">
        <f aca="false">IF(ISBLANK('Données brutes'!G19),"—",'Données brutes'!G19)</f>
        <v>Annulé</v>
      </c>
      <c r="O19" s="4" t="str">
        <f aca="false">IF((IF(E19="AMBIGU - A VERIFIER MANUELLEMENT",1,0)+IF(M19&lt;&gt;"NON",1,0)+IF(ISBLANK('Données brutes'!E19),1,0)+IF(ISBLANK('Données brutes'!G19),1,0))=0,"—",TRIM(IF(E19="AMBIGU - A VERIFIER MANUELLEMENT","Date ambigue; ","")&amp;IF(M19&lt;&gt;"NON","Doublon potentiel; ","")&amp;IF(ISBLANK('Données brutes'!E19),"Montant manquant; ","")&amp;IF(ISBLANK('Données brutes'!G19),"Statut manquant; ","")))</f>
        <v>—</v>
      </c>
    </row>
    <row r="20" customFormat="false" ht="15" hidden="false" customHeight="false" outlineLevel="0" collapsed="false">
      <c r="A20" s="6" t="str">
        <f aca="false">'Données brutes'!A20</f>
        <v>PO-2025-024</v>
      </c>
      <c r="B20" s="6" t="str">
        <f aca="false">'Données brutes'!B20</f>
        <v>AfriMed Supplies</v>
      </c>
      <c r="C20" s="6" t="str">
        <f aca="false">'Données brutes'!C20</f>
        <v>Kits médicaux</v>
      </c>
      <c r="D20" s="6" t="str">
        <f aca="false">'Données brutes'!D20</f>
        <v>12/04/2025</v>
      </c>
      <c r="E20" s="6" t="str">
        <f aca="false">IF(ISNUMBER(SEARCH("-",D20)),"ISO (AAAA-MM-JJ)",IF(VALUE(LEFT(D20,FIND("/",D20)-1))&gt;12,"JJ/MM/AAAA (1er nombre &gt; 12 = jour)",IF(VALUE(MID(D20,FIND("/",D20)+1,2))&gt;12,"MM/JJ/AAAA (2e nombre &gt; 12 = jour)","AMBIGU - A VERIFIER MANUELLEMENT")))</f>
        <v>AMBIGU - A VERIFIER MANUELLEMENT</v>
      </c>
      <c r="F20" s="15" t="str">
        <f aca="false">IF(E20="ISO (AAAA-MM-JJ)",DATE(VALUE(LEFT(D20,4)),VALUE(MID(D20,6,2)),VALUE(RIGHT(D20,2))),IF(E20="JJ/MM/AAAA (1er nombre &gt; 12 = jour)",DATE(VALUE(RIGHT(D20,4)),VALUE(MID(D20,FIND("/",D20)+1,2)),VALUE(LEFT(D20,FIND("/",D20)-1))),IF(E20="MM/JJ/AAAA (2e nombre &gt; 12 = jour)",DATE(VALUE(RIGHT(D20,4)),VALUE(LEFT(D20,FIND("/",D20)-1)),VALUE(MID(D20,FIND("/",D20)+1,2))),"—")))</f>
        <v>—</v>
      </c>
      <c r="G20" s="7" t="str">
        <f aca="false">IF(ISBLANK('Données brutes'!E20),"—",'Données brutes'!E20)</f>
        <v>—</v>
      </c>
      <c r="H20" s="6" t="str">
        <f aca="false">'Données brutes'!F20</f>
        <v>USD</v>
      </c>
      <c r="I20" s="6" t="str">
        <f aca="false">IF(H20="","(vide)",IF(OR(H20="USD",H20="US$",H20="$",H20="Dollars"),"USD",IF(H20="EUR","EUR",IF(H20="CDF","CDF",H20))))</f>
        <v>USD</v>
      </c>
      <c r="J20" s="16" t="n">
        <f aca="false">IF(I20="USD",$R$5,IF(I20="EUR",$R$6,IF(I20="CDF",$R$7,"TAUX INCONNU")))</f>
        <v>1</v>
      </c>
      <c r="K20" s="17" t="str">
        <f aca="false">IF(OR(ISTEXT(J20),ISTEXT(G20)),"—",G20*J20)</f>
        <v>—</v>
      </c>
      <c r="L20" s="6" t="n">
        <f aca="false">COUNTIFS('Données brutes'!$A$5:$A$22,A20,'Données brutes'!$C$5:$C$22,C20,'Données brutes'!$D$5:$D$22,D20,'Données brutes'!$E$5:$E$22,G20,'Données brutes'!$F$5:$F$22,H20)</f>
        <v>0</v>
      </c>
      <c r="M20" s="6" t="str">
        <f aca="false">IF(L20&gt;1,"OUI - doublon exact, a verifier avant suppression","NON")</f>
        <v>NON</v>
      </c>
      <c r="N20" s="6" t="str">
        <f aca="false">IF(ISBLANK('Données brutes'!G20),"—",'Données brutes'!G20)</f>
        <v>—</v>
      </c>
      <c r="O20" s="6" t="str">
        <f aca="false">IF((IF(E20="AMBIGU - A VERIFIER MANUELLEMENT",1,0)+IF(M20&lt;&gt;"NON",1,0)+IF(ISBLANK('Données brutes'!E20),1,0)+IF(ISBLANK('Données brutes'!G20),1,0))=0,"—",TRIM(IF(E20="AMBIGU - A VERIFIER MANUELLEMENT","Date ambigue; ","")&amp;IF(M20&lt;&gt;"NON","Doublon potentiel; ","")&amp;IF(ISBLANK('Données brutes'!E20),"Montant manquant; ","")&amp;IF(ISBLANK('Données brutes'!G20),"Statut manquant; ","")))</f>
        <v>Date ambigue; Montant manquant; Statut manquant;</v>
      </c>
    </row>
    <row r="21" customFormat="false" ht="15" hidden="false" customHeight="false" outlineLevel="0" collapsed="false">
      <c r="A21" s="4" t="str">
        <f aca="false">'Données brutes'!A21</f>
        <v>PO-2025-025</v>
      </c>
      <c r="B21" s="4" t="str">
        <f aca="false">'Données brutes'!B21</f>
        <v>Uganda Freight Ltd</v>
      </c>
      <c r="C21" s="4" t="str">
        <f aca="false">'Données brutes'!C21</f>
        <v>Transport fret Kampala-Bunia</v>
      </c>
      <c r="D21" s="4" t="str">
        <f aca="false">'Données brutes'!D21</f>
        <v>15/04/2025</v>
      </c>
      <c r="E21" s="4" t="str">
        <f aca="false">IF(ISNUMBER(SEARCH("-",D21)),"ISO (AAAA-MM-JJ)",IF(VALUE(LEFT(D21,FIND("/",D21)-1))&gt;12,"JJ/MM/AAAA (1er nombre &gt; 12 = jour)",IF(VALUE(MID(D21,FIND("/",D21)+1,2))&gt;12,"MM/JJ/AAAA (2e nombre &gt; 12 = jour)","AMBIGU - A VERIFIER MANUELLEMENT")))</f>
        <v>JJ/MM/AAAA (1er nombre &gt; 12 = jour)</v>
      </c>
      <c r="F21" s="10" t="n">
        <f aca="false">IF(E21="ISO (AAAA-MM-JJ)",DATE(VALUE(LEFT(D21,4)),VALUE(MID(D21,6,2)),VALUE(RIGHT(D21,2))),IF(E21="JJ/MM/AAAA (1er nombre &gt; 12 = jour)",DATE(VALUE(RIGHT(D21,4)),VALUE(MID(D21,FIND("/",D21)+1,2)),VALUE(LEFT(D21,FIND("/",D21)-1))),IF(E21="MM/JJ/AAAA (2e nombre &gt; 12 = jour)",DATE(VALUE(RIGHT(D21,4)),VALUE(LEFT(D21,FIND("/",D21)-1)),VALUE(MID(D21,FIND("/",D21)+1,2))),"—")))</f>
        <v>45762</v>
      </c>
      <c r="G21" s="5" t="n">
        <f aca="false">IF(ISBLANK('Données brutes'!E21),"—",'Données brutes'!E21)</f>
        <v>1600</v>
      </c>
      <c r="H21" s="4" t="str">
        <f aca="false">'Données brutes'!F21</f>
        <v>EUR</v>
      </c>
      <c r="I21" s="4" t="str">
        <f aca="false">IF(H21="","(vide)",IF(OR(H21="USD",H21="US$",H21="$",H21="Dollars"),"USD",IF(H21="EUR","EUR",IF(H21="CDF","CDF",H21))))</f>
        <v>EUR</v>
      </c>
      <c r="J21" s="11" t="n">
        <f aca="false">IF(I21="USD",$R$5,IF(I21="EUR",$R$6,IF(I21="CDF",$R$7,"TAUX INCONNU")))</f>
        <v>1.08</v>
      </c>
      <c r="K21" s="12" t="n">
        <f aca="false">IF(OR(ISTEXT(J21),ISTEXT(G21)),"—",G21*J21)</f>
        <v>1728</v>
      </c>
      <c r="L21" s="4" t="n">
        <f aca="false">COUNTIFS('Données brutes'!$A$5:$A$22,A21,'Données brutes'!$C$5:$C$22,C21,'Données brutes'!$D$5:$D$22,D21,'Données brutes'!$E$5:$E$22,G21,'Données brutes'!$F$5:$F$22,H21)</f>
        <v>1</v>
      </c>
      <c r="M21" s="4" t="str">
        <f aca="false">IF(L21&gt;1,"OUI - doublon exact, a verifier avant suppression","NON")</f>
        <v>NON</v>
      </c>
      <c r="N21" s="4" t="str">
        <f aca="false">IF(ISBLANK('Données brutes'!G21),"—",'Données brutes'!G21)</f>
        <v>Livré</v>
      </c>
      <c r="O21" s="4" t="str">
        <f aca="false">IF((IF(E21="AMBIGU - A VERIFIER MANUELLEMENT",1,0)+IF(M21&lt;&gt;"NON",1,0)+IF(ISBLANK('Données brutes'!E21),1,0)+IF(ISBLANK('Données brutes'!G21),1,0))=0,"—",TRIM(IF(E21="AMBIGU - A VERIFIER MANUELLEMENT","Date ambigue; ","")&amp;IF(M21&lt;&gt;"NON","Doublon potentiel; ","")&amp;IF(ISBLANK('Données brutes'!E21),"Montant manquant; ","")&amp;IF(ISBLANK('Données brutes'!G21),"Statut manquant; ","")))</f>
        <v>—</v>
      </c>
    </row>
    <row r="22" customFormat="false" ht="15" hidden="false" customHeight="false" outlineLevel="0" collapsed="false">
      <c r="A22" s="6" t="str">
        <f aca="false">'Données brutes'!A22</f>
        <v>PO-2025-026</v>
      </c>
      <c r="B22" s="6" t="str">
        <f aca="false">'Données brutes'!B22</f>
        <v>Bunia Fuel Co.</v>
      </c>
      <c r="C22" s="6" t="str">
        <f aca="false">'Données brutes'!C22</f>
        <v>Carburant diesel</v>
      </c>
      <c r="D22" s="6" t="str">
        <f aca="false">'Données brutes'!D22</f>
        <v>2025-04-18</v>
      </c>
      <c r="E22" s="6" t="str">
        <f aca="false">IF(ISNUMBER(SEARCH("-",D22)),"ISO (AAAA-MM-JJ)",IF(VALUE(LEFT(D22,FIND("/",D22)-1))&gt;12,"JJ/MM/AAAA (1er nombre &gt; 12 = jour)",IF(VALUE(MID(D22,FIND("/",D22)+1,2))&gt;12,"MM/JJ/AAAA (2e nombre &gt; 12 = jour)","AMBIGU - A VERIFIER MANUELLEMENT")))</f>
        <v>ISO (AAAA-MM-JJ)</v>
      </c>
      <c r="F22" s="15" t="n">
        <f aca="false">IF(E22="ISO (AAAA-MM-JJ)",DATE(VALUE(LEFT(D22,4)),VALUE(MID(D22,6,2)),VALUE(RIGHT(D22,2))),IF(E22="JJ/MM/AAAA (1er nombre &gt; 12 = jour)",DATE(VALUE(RIGHT(D22,4)),VALUE(MID(D22,FIND("/",D22)+1,2)),VALUE(LEFT(D22,FIND("/",D22)-1))),IF(E22="MM/JJ/AAAA (2e nombre &gt; 12 = jour)",DATE(VALUE(RIGHT(D22,4)),VALUE(LEFT(D22,FIND("/",D22)-1)),VALUE(MID(D22,FIND("/",D22)+1,2))),"—")))</f>
        <v>45765</v>
      </c>
      <c r="G22" s="7" t="n">
        <f aca="false">IF(ISBLANK('Données brutes'!E22),"—",'Données brutes'!E22)</f>
        <v>1020000</v>
      </c>
      <c r="H22" s="6" t="str">
        <f aca="false">'Données brutes'!F22</f>
        <v>CDF</v>
      </c>
      <c r="I22" s="6" t="str">
        <f aca="false">IF(H22="","(vide)",IF(OR(H22="USD",H22="US$",H22="$",H22="Dollars"),"USD",IF(H22="EUR","EUR",IF(H22="CDF","CDF",H22))))</f>
        <v>CDF</v>
      </c>
      <c r="J22" s="16" t="n">
        <f aca="false">IF(I22="USD",$R$5,IF(I22="EUR",$R$6,IF(I22="CDF",$R$7,"TAUX INCONNU")))</f>
        <v>0.00036</v>
      </c>
      <c r="K22" s="17" t="n">
        <f aca="false">IF(OR(ISTEXT(J22),ISTEXT(G22)),"—",G22*J22)</f>
        <v>367.2</v>
      </c>
      <c r="L22" s="6" t="n">
        <f aca="false">COUNTIFS('Données brutes'!$A$5:$A$22,A22,'Données brutes'!$C$5:$C$22,C22,'Données brutes'!$D$5:$D$22,D22,'Données brutes'!$E$5:$E$22,G22,'Données brutes'!$F$5:$F$22,H22)</f>
        <v>1</v>
      </c>
      <c r="M22" s="6" t="str">
        <f aca="false">IF(L22&gt;1,"OUI - doublon exact, a verifier avant suppression","NON")</f>
        <v>NON</v>
      </c>
      <c r="N22" s="6" t="str">
        <f aca="false">IF(ISBLANK('Données brutes'!G22),"—",'Données brutes'!G22)</f>
        <v>En cours</v>
      </c>
      <c r="O22" s="6" t="str">
        <f aca="false">IF((IF(E22="AMBIGU - A VERIFIER MANUELLEMENT",1,0)+IF(M22&lt;&gt;"NON",1,0)+IF(ISBLANK('Données brutes'!E22),1,0)+IF(ISBLANK('Données brutes'!G22),1,0))=0,"—",TRIM(IF(E22="AMBIGU - A VERIFIER MANUELLEMENT","Date ambigue; ","")&amp;IF(M22&lt;&gt;"NON","Doublon potentiel; ","")&amp;IF(ISBLANK('Données brutes'!E22),"Montant manquant; ","")&amp;IF(ISBLANK('Données brutes'!G22),"Statut manquant; ","")))</f>
        <v>—</v>
      </c>
    </row>
    <row r="24" customFormat="false" ht="15" hidden="false" customHeight="false" outlineLevel="0" collapsed="false">
      <c r="A24" s="18" t="s">
        <v>81</v>
      </c>
    </row>
    <row r="25" customFormat="false" ht="15" hidden="false" customHeight="false" outlineLevel="0" collapsed="false">
      <c r="A25" s="19" t="s">
        <v>82</v>
      </c>
      <c r="B25" s="19"/>
      <c r="C25" s="19"/>
      <c r="D25" s="19"/>
      <c r="E25" s="18" t="n">
        <f aca="false">COUNTA('Données brutes'!A5:A22)</f>
        <v>18</v>
      </c>
    </row>
    <row r="26" customFormat="false" ht="15" hidden="false" customHeight="false" outlineLevel="0" collapsed="false">
      <c r="A26" s="19" t="s">
        <v>83</v>
      </c>
      <c r="B26" s="19"/>
      <c r="C26" s="19"/>
      <c r="D26" s="19"/>
      <c r="E26" s="18" t="n">
        <f aca="false">COUNTIF(M5:M22,"OUI*")</f>
        <v>2</v>
      </c>
    </row>
    <row r="27" customFormat="false" ht="15" hidden="false" customHeight="false" outlineLevel="0" collapsed="false">
      <c r="A27" s="19" t="s">
        <v>84</v>
      </c>
      <c r="B27" s="19"/>
      <c r="C27" s="19"/>
      <c r="D27" s="19"/>
      <c r="E27" s="18" t="n">
        <f aca="false">COUNTIF(O5:O22,"?*")-COUNTIF(O5:O22,"—")</f>
        <v>7</v>
      </c>
    </row>
    <row r="28" customFormat="false" ht="15" hidden="false" customHeight="false" outlineLevel="0" collapsed="false">
      <c r="A28" s="19" t="s">
        <v>85</v>
      </c>
      <c r="B28" s="19"/>
      <c r="C28" s="19"/>
      <c r="D28" s="19"/>
      <c r="E28" s="20" t="n">
        <f aca="false">SUMIFS(K5:K22,O5:O22,"—")</f>
        <v>18377.6</v>
      </c>
    </row>
  </sheetData>
  <mergeCells count="8">
    <mergeCell ref="A1:O1"/>
    <mergeCell ref="A2:O2"/>
    <mergeCell ref="Q4:R4"/>
    <mergeCell ref="Q9:R13"/>
    <mergeCell ref="A25:D25"/>
    <mergeCell ref="A26:D26"/>
    <mergeCell ref="A27:D27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0"/>
  </cols>
  <sheetData>
    <row r="1" customFormat="false" ht="21.75" hidden="false" customHeight="true" outlineLevel="0" collapsed="false">
      <c r="A1" s="1" t="s">
        <v>86</v>
      </c>
      <c r="B1" s="1"/>
    </row>
    <row r="2" customFormat="false" ht="15" hidden="false" customHeight="false" outlineLevel="0" collapsed="false">
      <c r="A2" s="2" t="s">
        <v>87</v>
      </c>
      <c r="B2" s="2"/>
    </row>
    <row r="4" customFormat="false" ht="30" hidden="false" customHeight="true" outlineLevel="0" collapsed="false">
      <c r="A4" s="21" t="s">
        <v>88</v>
      </c>
      <c r="B4" s="21" t="s">
        <v>89</v>
      </c>
    </row>
    <row r="5" customFormat="false" ht="60" hidden="false" customHeight="true" outlineLevel="0" collapsed="false">
      <c r="A5" s="22" t="s">
        <v>90</v>
      </c>
      <c r="B5" s="23" t="s">
        <v>91</v>
      </c>
    </row>
    <row r="6" customFormat="false" ht="60" hidden="false" customHeight="true" outlineLevel="0" collapsed="false">
      <c r="A6" s="24" t="s">
        <v>92</v>
      </c>
      <c r="B6" s="25" t="s">
        <v>93</v>
      </c>
    </row>
    <row r="7" customFormat="false" ht="60" hidden="false" customHeight="true" outlineLevel="0" collapsed="false">
      <c r="A7" s="22" t="s">
        <v>94</v>
      </c>
      <c r="B7" s="23" t="s">
        <v>95</v>
      </c>
    </row>
    <row r="8" customFormat="false" ht="60" hidden="false" customHeight="true" outlineLevel="0" collapsed="false">
      <c r="A8" s="24" t="s">
        <v>96</v>
      </c>
      <c r="B8" s="25" t="s">
        <v>97</v>
      </c>
    </row>
    <row r="9" customFormat="false" ht="60" hidden="false" customHeight="true" outlineLevel="0" collapsed="false">
      <c r="A9" s="22" t="s">
        <v>98</v>
      </c>
      <c r="B9" s="23" t="s">
        <v>99</v>
      </c>
    </row>
    <row r="10" customFormat="false" ht="60" hidden="false" customHeight="true" outlineLevel="0" collapsed="false">
      <c r="A10" s="24" t="s">
        <v>100</v>
      </c>
      <c r="B10" s="25" t="s">
        <v>101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2026-08-31T20:58:12Z</dcterms:created>
  <dc:creator>openpyxl</dc:creator>
  <dc:description/>
  <dc:language>fr-FR</dc:language>
  <cp:lastModifiedBy/>
  <dcterms:modified xsi:type="dcterms:W3CDTF">2026-08-31T20:58:12Z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