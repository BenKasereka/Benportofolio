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Données brutes" sheetId="1" state="visible" r:id="rId3"/>
    <sheet name="Tableau de bord"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<sst xmlns="http://schemas.openxmlformats.org/spreadsheetml/2006/main" count="514" uniqueCount="42">
  <si>
    <t xml:space="preserve">DONNÉES BRUTES — ACHATS &amp; STOCKS</t>
  </si>
  <si>
    <t xml:space="preserve">Module 08 — KPIs, Reporting &amp; Tableau de Bord Supply Chain — BK-BOOST Ltd.</t>
  </si>
  <si>
    <t xml:space="preserve">ID ligne</t>
  </si>
  <si>
    <t xml:space="preserve">Catégorie</t>
  </si>
  <si>
    <t xml:space="preserve">Zone / Entrepôt</t>
  </si>
  <si>
    <t xml:space="preserve">Période (AAAA-MM)</t>
  </si>
  <si>
    <t xml:space="preserve">Date demande d'achat</t>
  </si>
  <si>
    <t xml:space="preserve">Date réception</t>
  </si>
  <si>
    <t xml:space="preserve">Délai (jours)</t>
  </si>
  <si>
    <t xml:space="preserve">En rupture ce mois</t>
  </si>
  <si>
    <t xml:space="preserve">Statut conformité achat</t>
  </si>
  <si>
    <t xml:space="preserve">Médicaments essentiels</t>
  </si>
  <si>
    <t xml:space="preserve">Entrepôt principal - Maiduguri</t>
  </si>
  <si>
    <t xml:space="preserve">2026-06</t>
  </si>
  <si>
    <t xml:space="preserve">Non</t>
  </si>
  <si>
    <t xml:space="preserve">Conforme</t>
  </si>
  <si>
    <t xml:space="preserve">Entrepôt secondaire - Monguno</t>
  </si>
  <si>
    <t xml:space="preserve">Kits d'hygiène</t>
  </si>
  <si>
    <t xml:space="preserve">Matériel médical</t>
  </si>
  <si>
    <t xml:space="preserve">Nutrition</t>
  </si>
  <si>
    <t xml:space="preserve">2026-07</t>
  </si>
  <si>
    <t xml:space="preserve">Non conforme (dérogation urgence justifiée)</t>
  </si>
  <si>
    <t xml:space="preserve">Oui</t>
  </si>
  <si>
    <t xml:space="preserve">2026-08</t>
  </si>
  <si>
    <t xml:space="preserve">TABLEAU DE BORD KPI SUPPLY CHAIN</t>
  </si>
  <si>
    <t xml:space="preserve">Calculé automatiquement à partir de l'onglet "Données brutes" — ne pas modifier les formules.</t>
  </si>
  <si>
    <t xml:space="preserve">Taux de rupture de stock (global)</t>
  </si>
  <si>
    <t xml:space="preserve">Délai d'approvisionnement moyen</t>
  </si>
  <si>
    <t xml:space="preserve">Taux de conformité achats (global)</t>
  </si>
  <si>
    <t xml:space="preserve">Part des lignes d'article en rupture sur la période</t>
  </si>
  <si>
    <t xml:space="preserve">Délai moyen demande d'achat -&gt; réception entrepôt</t>
  </si>
  <si>
    <t xml:space="preserve">Part des dossiers d'achat conformes à la procédure</t>
  </si>
  <si>
    <t xml:space="preserve">1. </t>
  </si>
  <si>
    <t xml:space="preserve">Synthèse par catégorie et par période</t>
  </si>
  <si>
    <t xml:space="preserve">Période</t>
  </si>
  <si>
    <t xml:space="preserve">Nb lignes</t>
  </si>
  <si>
    <t xml:space="preserve">Taux de rupture (%)</t>
  </si>
  <si>
    <t xml:space="preserve">Délai moyen (jours)</t>
  </si>
  <si>
    <t xml:space="preserve">Taux de conformité (%)</t>
  </si>
  <si>
    <t xml:space="preserve">2. </t>
  </si>
  <si>
    <t xml:space="preserve">Lecture rapide</t>
  </si>
  <si>
    <t xml:space="preserve">Un taux de rupture ou un délai qui dérive sur une seule combinaison catégorie / période, alors que la moyenne globale ci-dessus reste stable, est le signal typique d'un problème localisé (un entrepôt, un fournisseur, une saison) masqué par une moyenne trop agrégée. Toujours croiser le chiffre global avec cette synthèse avant de conclure.</t>
  </si>
</sst>
</file>

<file path=xl/styles.xml><?xml version="1.0" encoding="utf-8"?>
<styleSheet xmlns="http://schemas.openxmlformats.org/spreadsheetml/2006/main">
  <numFmts count="5">
    <numFmt numFmtId="164" formatCode="General"/>
    <numFmt numFmtId="165" formatCode="yyyy\-mm\-dd"/>
    <numFmt numFmtId="166" formatCode="0.0\%"/>
    <numFmt numFmtId="167" formatCode="0.0,&quot;jours&quot;"/>
    <numFmt numFmtId="168" formatCode="0.0"/>
  </numFmts>
  <fonts count="13">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sz val="9"/>
      <color rgb="FF6B7280"/>
      <name val="Arial"/>
      <family val="0"/>
      <charset val="1"/>
    </font>
    <font>
      <b val="true"/>
      <sz val="10"/>
      <color rgb="FFFFFFFF"/>
      <name val="Arial"/>
      <family val="0"/>
      <charset val="1"/>
    </font>
    <font>
      <sz val="10"/>
      <name val="Arial"/>
      <family val="0"/>
      <charset val="1"/>
    </font>
    <font>
      <b val="true"/>
      <sz val="11"/>
      <color rgb="FF1E3A8A"/>
      <name val="Arial"/>
      <family val="0"/>
      <charset val="1"/>
    </font>
    <font>
      <b val="true"/>
      <sz val="20"/>
      <color rgb="FF047857"/>
      <name val="Arial"/>
      <family val="0"/>
      <charset val="1"/>
    </font>
    <font>
      <i val="true"/>
      <sz val="9"/>
      <color rgb="FF6B7280"/>
      <name val="Arial"/>
      <family val="0"/>
      <charset val="1"/>
    </font>
    <font>
      <b val="true"/>
      <sz val="12"/>
      <color rgb="FFB45309"/>
      <name val="Arial"/>
      <family val="0"/>
      <charset val="1"/>
    </font>
    <font>
      <b val="true"/>
      <sz val="12"/>
      <color rgb="FF1E3A8A"/>
      <name val="Arial"/>
      <family val="0"/>
      <charset val="1"/>
    </font>
  </fonts>
  <fills count="4">
    <fill>
      <patternFill patternType="none"/>
    </fill>
    <fill>
      <patternFill patternType="gray125"/>
    </fill>
    <fill>
      <patternFill patternType="solid">
        <fgColor rgb="FF1E3A8A"/>
        <bgColor rgb="FF003366"/>
      </patternFill>
    </fill>
    <fill>
      <patternFill patternType="solid">
        <fgColor rgb="FF047857"/>
        <bgColor rgb="FF008080"/>
      </patternFill>
    </fill>
  </fills>
  <borders count="2">
    <border diagonalUp="false" diagonalDown="false">
      <left/>
      <right/>
      <top/>
      <bottom/>
      <diagonal/>
    </border>
    <border diagonalUp="false" diagonalDown="false">
      <left/>
      <right/>
      <top/>
      <bottom style="thin">
        <color rgb="FF04785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47857"/>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7280"/>
      <rgbColor rgb="FF969696"/>
      <rgbColor rgb="FF003366"/>
      <rgbColor rgb="FF339966"/>
      <rgbColor rgb="FF003300"/>
      <rgbColor rgb="FF333300"/>
      <rgbColor rgb="FFB45309"/>
      <rgbColor rgb="FF993366"/>
      <rgbColor rgb="FF1E3A8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453125" defaultRowHeight="15" customHeight="false"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30"/>
    <col collapsed="false" customWidth="true" hidden="false" outlineLevel="0" max="4" min="4" style="0" width="16"/>
    <col collapsed="false" customWidth="true" hidden="false" outlineLevel="0" max="5" min="5" style="0" width="18"/>
    <col collapsed="false" customWidth="true" hidden="false" outlineLevel="0" max="6" min="6" style="0" width="16"/>
    <col collapsed="false" customWidth="true" hidden="false" outlineLevel="0" max="7" min="7" style="0" width="12"/>
    <col collapsed="false" customWidth="true" hidden="false" outlineLevel="0" max="8" min="8" style="0" width="16"/>
    <col collapsed="false" customWidth="true" hidden="false" outlineLevel="0" max="9" min="9" style="0" width="34"/>
  </cols>
  <sheetData>
    <row r="1" customFormat="false" ht="21.75" hidden="false" customHeight="true" outlineLevel="0" collapsed="false">
      <c r="A1" s="1" t="s">
        <v>0</v>
      </c>
      <c r="B1" s="1"/>
      <c r="C1" s="1"/>
      <c r="D1" s="1"/>
      <c r="E1" s="1"/>
      <c r="F1" s="1"/>
      <c r="G1" s="1"/>
      <c r="H1" s="1"/>
      <c r="I1" s="1"/>
    </row>
    <row r="2" customFormat="false" ht="15.75" hidden="false" customHeight="true" outlineLevel="0" collapsed="false">
      <c r="A2" s="2" t="s">
        <v>1</v>
      </c>
      <c r="B2" s="2"/>
      <c r="C2" s="2"/>
      <c r="D2" s="2"/>
      <c r="E2" s="2"/>
      <c r="F2" s="2"/>
      <c r="G2" s="2"/>
      <c r="H2" s="2"/>
      <c r="I2" s="2"/>
    </row>
    <row r="4" customFormat="false" ht="24" hidden="false" customHeight="false" outlineLevel="0" collapsed="false">
      <c r="A4" s="3" t="s">
        <v>2</v>
      </c>
      <c r="B4" s="3" t="s">
        <v>3</v>
      </c>
      <c r="C4" s="3" t="s">
        <v>4</v>
      </c>
      <c r="D4" s="3" t="s">
        <v>5</v>
      </c>
      <c r="E4" s="3" t="s">
        <v>6</v>
      </c>
      <c r="F4" s="3" t="s">
        <v>7</v>
      </c>
      <c r="G4" s="3" t="s">
        <v>8</v>
      </c>
      <c r="H4" s="3" t="s">
        <v>9</v>
      </c>
      <c r="I4" s="3" t="s">
        <v>10</v>
      </c>
    </row>
    <row r="5" customFormat="false" ht="15" hidden="false" customHeight="false" outlineLevel="0" collapsed="false">
      <c r="A5" s="4" t="n">
        <v>1</v>
      </c>
      <c r="B5" s="4" t="s">
        <v>11</v>
      </c>
      <c r="C5" s="4" t="s">
        <v>12</v>
      </c>
      <c r="D5" s="4" t="s">
        <v>13</v>
      </c>
      <c r="E5" s="5" t="n">
        <v>46175</v>
      </c>
      <c r="F5" s="5" t="n">
        <v>46200</v>
      </c>
      <c r="G5" s="4" t="n">
        <f aca="false">IFERROR(F5-E5,"")</f>
        <v>25</v>
      </c>
      <c r="H5" s="4" t="s">
        <v>14</v>
      </c>
      <c r="I5" s="4" t="s">
        <v>15</v>
      </c>
    </row>
    <row r="6" customFormat="false" ht="15" hidden="false" customHeight="false" outlineLevel="0" collapsed="false">
      <c r="A6" s="4" t="n">
        <v>2</v>
      </c>
      <c r="B6" s="4" t="s">
        <v>11</v>
      </c>
      <c r="C6" s="4" t="s">
        <v>12</v>
      </c>
      <c r="D6" s="4" t="s">
        <v>13</v>
      </c>
      <c r="E6" s="5" t="n">
        <v>46184</v>
      </c>
      <c r="F6" s="5" t="n">
        <v>46206</v>
      </c>
      <c r="G6" s="4" t="n">
        <f aca="false">IFERROR(F6-E6,"")</f>
        <v>22</v>
      </c>
      <c r="H6" s="4" t="s">
        <v>14</v>
      </c>
      <c r="I6" s="4" t="s">
        <v>15</v>
      </c>
    </row>
    <row r="7" customFormat="false" ht="15" hidden="false" customHeight="false" outlineLevel="0" collapsed="false">
      <c r="A7" s="4" t="n">
        <v>3</v>
      </c>
      <c r="B7" s="4" t="s">
        <v>11</v>
      </c>
      <c r="C7" s="4" t="s">
        <v>12</v>
      </c>
      <c r="D7" s="4" t="s">
        <v>13</v>
      </c>
      <c r="E7" s="5" t="n">
        <v>46183</v>
      </c>
      <c r="F7" s="5" t="n">
        <v>46204</v>
      </c>
      <c r="G7" s="4" t="n">
        <f aca="false">IFERROR(F7-E7,"")</f>
        <v>21</v>
      </c>
      <c r="H7" s="4" t="s">
        <v>14</v>
      </c>
      <c r="I7" s="4" t="s">
        <v>15</v>
      </c>
    </row>
    <row r="8" customFormat="false" ht="15" hidden="false" customHeight="false" outlineLevel="0" collapsed="false">
      <c r="A8" s="4" t="n">
        <v>4</v>
      </c>
      <c r="B8" s="4" t="s">
        <v>11</v>
      </c>
      <c r="C8" s="4" t="s">
        <v>12</v>
      </c>
      <c r="D8" s="4" t="s">
        <v>13</v>
      </c>
      <c r="E8" s="5" t="n">
        <v>46174</v>
      </c>
      <c r="F8" s="5" t="n">
        <v>46196</v>
      </c>
      <c r="G8" s="4" t="n">
        <f aca="false">IFERROR(F8-E8,"")</f>
        <v>22</v>
      </c>
      <c r="H8" s="4" t="s">
        <v>14</v>
      </c>
      <c r="I8" s="4" t="s">
        <v>15</v>
      </c>
    </row>
    <row r="9" customFormat="false" ht="15" hidden="false" customHeight="false" outlineLevel="0" collapsed="false">
      <c r="A9" s="4" t="n">
        <v>5</v>
      </c>
      <c r="B9" s="4" t="s">
        <v>11</v>
      </c>
      <c r="C9" s="4" t="s">
        <v>12</v>
      </c>
      <c r="D9" s="4" t="s">
        <v>13</v>
      </c>
      <c r="E9" s="5" t="n">
        <v>46182</v>
      </c>
      <c r="F9" s="5" t="n">
        <v>46200</v>
      </c>
      <c r="G9" s="4" t="n">
        <f aca="false">IFERROR(F9-E9,"")</f>
        <v>18</v>
      </c>
      <c r="H9" s="4" t="s">
        <v>14</v>
      </c>
      <c r="I9" s="4" t="s">
        <v>15</v>
      </c>
    </row>
    <row r="10" customFormat="false" ht="15" hidden="false" customHeight="false" outlineLevel="0" collapsed="false">
      <c r="A10" s="4" t="n">
        <v>6</v>
      </c>
      <c r="B10" s="4" t="s">
        <v>11</v>
      </c>
      <c r="C10" s="4" t="s">
        <v>16</v>
      </c>
      <c r="D10" s="4" t="s">
        <v>13</v>
      </c>
      <c r="E10" s="5" t="n">
        <v>46180</v>
      </c>
      <c r="F10" s="5" t="n">
        <v>46204</v>
      </c>
      <c r="G10" s="4" t="n">
        <f aca="false">IFERROR(F10-E10,"")</f>
        <v>24</v>
      </c>
      <c r="H10" s="4" t="s">
        <v>14</v>
      </c>
      <c r="I10" s="4" t="s">
        <v>15</v>
      </c>
    </row>
    <row r="11" customFormat="false" ht="15" hidden="false" customHeight="false" outlineLevel="0" collapsed="false">
      <c r="A11" s="4" t="n">
        <v>7</v>
      </c>
      <c r="B11" s="4" t="s">
        <v>11</v>
      </c>
      <c r="C11" s="4" t="s">
        <v>16</v>
      </c>
      <c r="D11" s="4" t="s">
        <v>13</v>
      </c>
      <c r="E11" s="5" t="n">
        <v>46179</v>
      </c>
      <c r="F11" s="5" t="n">
        <v>46204</v>
      </c>
      <c r="G11" s="4" t="n">
        <f aca="false">IFERROR(F11-E11,"")</f>
        <v>25</v>
      </c>
      <c r="H11" s="4" t="s">
        <v>14</v>
      </c>
      <c r="I11" s="4" t="s">
        <v>15</v>
      </c>
    </row>
    <row r="12" customFormat="false" ht="15" hidden="false" customHeight="false" outlineLevel="0" collapsed="false">
      <c r="A12" s="4" t="n">
        <v>8</v>
      </c>
      <c r="B12" s="4" t="s">
        <v>11</v>
      </c>
      <c r="C12" s="4" t="s">
        <v>16</v>
      </c>
      <c r="D12" s="4" t="s">
        <v>13</v>
      </c>
      <c r="E12" s="5" t="n">
        <v>46178</v>
      </c>
      <c r="F12" s="5" t="n">
        <v>46202</v>
      </c>
      <c r="G12" s="4" t="n">
        <f aca="false">IFERROR(F12-E12,"")</f>
        <v>24</v>
      </c>
      <c r="H12" s="4" t="s">
        <v>14</v>
      </c>
      <c r="I12" s="4" t="s">
        <v>15</v>
      </c>
    </row>
    <row r="13" customFormat="false" ht="15" hidden="false" customHeight="false" outlineLevel="0" collapsed="false">
      <c r="A13" s="4" t="n">
        <v>9</v>
      </c>
      <c r="B13" s="4" t="s">
        <v>17</v>
      </c>
      <c r="C13" s="4" t="s">
        <v>12</v>
      </c>
      <c r="D13" s="4" t="s">
        <v>13</v>
      </c>
      <c r="E13" s="5" t="n">
        <v>46175</v>
      </c>
      <c r="F13" s="5" t="n">
        <v>46200</v>
      </c>
      <c r="G13" s="4" t="n">
        <f aca="false">IFERROR(F13-E13,"")</f>
        <v>25</v>
      </c>
      <c r="H13" s="4" t="s">
        <v>14</v>
      </c>
      <c r="I13" s="4" t="s">
        <v>15</v>
      </c>
    </row>
    <row r="14" customFormat="false" ht="15" hidden="false" customHeight="false" outlineLevel="0" collapsed="false">
      <c r="A14" s="4" t="n">
        <v>10</v>
      </c>
      <c r="B14" s="4" t="s">
        <v>17</v>
      </c>
      <c r="C14" s="4" t="s">
        <v>12</v>
      </c>
      <c r="D14" s="4" t="s">
        <v>13</v>
      </c>
      <c r="E14" s="5" t="n">
        <v>46183</v>
      </c>
      <c r="F14" s="5" t="n">
        <v>46204</v>
      </c>
      <c r="G14" s="4" t="n">
        <f aca="false">IFERROR(F14-E14,"")</f>
        <v>21</v>
      </c>
      <c r="H14" s="4" t="s">
        <v>14</v>
      </c>
      <c r="I14" s="4" t="s">
        <v>15</v>
      </c>
    </row>
    <row r="15" customFormat="false" ht="15" hidden="false" customHeight="false" outlineLevel="0" collapsed="false">
      <c r="A15" s="4" t="n">
        <v>11</v>
      </c>
      <c r="B15" s="4" t="s">
        <v>17</v>
      </c>
      <c r="C15" s="4" t="s">
        <v>12</v>
      </c>
      <c r="D15" s="4" t="s">
        <v>13</v>
      </c>
      <c r="E15" s="5" t="n">
        <v>46177</v>
      </c>
      <c r="F15" s="5" t="n">
        <v>46198</v>
      </c>
      <c r="G15" s="4" t="n">
        <f aca="false">IFERROR(F15-E15,"")</f>
        <v>21</v>
      </c>
      <c r="H15" s="4" t="s">
        <v>14</v>
      </c>
      <c r="I15" s="4" t="s">
        <v>15</v>
      </c>
    </row>
    <row r="16" customFormat="false" ht="15" hidden="false" customHeight="false" outlineLevel="0" collapsed="false">
      <c r="A16" s="4" t="n">
        <v>12</v>
      </c>
      <c r="B16" s="4" t="s">
        <v>17</v>
      </c>
      <c r="C16" s="4" t="s">
        <v>12</v>
      </c>
      <c r="D16" s="4" t="s">
        <v>13</v>
      </c>
      <c r="E16" s="5" t="n">
        <v>46175</v>
      </c>
      <c r="F16" s="5" t="n">
        <v>46195</v>
      </c>
      <c r="G16" s="4" t="n">
        <f aca="false">IFERROR(F16-E16,"")</f>
        <v>20</v>
      </c>
      <c r="H16" s="4" t="s">
        <v>14</v>
      </c>
      <c r="I16" s="4" t="s">
        <v>15</v>
      </c>
    </row>
    <row r="17" customFormat="false" ht="15" hidden="false" customHeight="false" outlineLevel="0" collapsed="false">
      <c r="A17" s="4" t="n">
        <v>13</v>
      </c>
      <c r="B17" s="4" t="s">
        <v>17</v>
      </c>
      <c r="C17" s="4" t="s">
        <v>12</v>
      </c>
      <c r="D17" s="4" t="s">
        <v>13</v>
      </c>
      <c r="E17" s="5" t="n">
        <v>46180</v>
      </c>
      <c r="F17" s="5" t="n">
        <v>46201</v>
      </c>
      <c r="G17" s="4" t="n">
        <f aca="false">IFERROR(F17-E17,"")</f>
        <v>21</v>
      </c>
      <c r="H17" s="4" t="s">
        <v>14</v>
      </c>
      <c r="I17" s="4" t="s">
        <v>15</v>
      </c>
    </row>
    <row r="18" customFormat="false" ht="15" hidden="false" customHeight="false" outlineLevel="0" collapsed="false">
      <c r="A18" s="4" t="n">
        <v>14</v>
      </c>
      <c r="B18" s="4" t="s">
        <v>17</v>
      </c>
      <c r="C18" s="4" t="s">
        <v>16</v>
      </c>
      <c r="D18" s="4" t="s">
        <v>13</v>
      </c>
      <c r="E18" s="5" t="n">
        <v>46184</v>
      </c>
      <c r="F18" s="5" t="n">
        <v>46211</v>
      </c>
      <c r="G18" s="4" t="n">
        <f aca="false">IFERROR(F18-E18,"")</f>
        <v>27</v>
      </c>
      <c r="H18" s="4" t="s">
        <v>14</v>
      </c>
      <c r="I18" s="4" t="s">
        <v>15</v>
      </c>
    </row>
    <row r="19" customFormat="false" ht="15" hidden="false" customHeight="false" outlineLevel="0" collapsed="false">
      <c r="A19" s="4" t="n">
        <v>15</v>
      </c>
      <c r="B19" s="4" t="s">
        <v>17</v>
      </c>
      <c r="C19" s="4" t="s">
        <v>16</v>
      </c>
      <c r="D19" s="4" t="s">
        <v>13</v>
      </c>
      <c r="E19" s="5" t="n">
        <v>46184</v>
      </c>
      <c r="F19" s="5" t="n">
        <v>46211</v>
      </c>
      <c r="G19" s="4" t="n">
        <f aca="false">IFERROR(F19-E19,"")</f>
        <v>27</v>
      </c>
      <c r="H19" s="4" t="s">
        <v>14</v>
      </c>
      <c r="I19" s="4" t="s">
        <v>15</v>
      </c>
    </row>
    <row r="20" customFormat="false" ht="15" hidden="false" customHeight="false" outlineLevel="0" collapsed="false">
      <c r="A20" s="4" t="n">
        <v>16</v>
      </c>
      <c r="B20" s="4" t="s">
        <v>17</v>
      </c>
      <c r="C20" s="4" t="s">
        <v>16</v>
      </c>
      <c r="D20" s="4" t="s">
        <v>13</v>
      </c>
      <c r="E20" s="5" t="n">
        <v>46181</v>
      </c>
      <c r="F20" s="5" t="n">
        <v>46205</v>
      </c>
      <c r="G20" s="4" t="n">
        <f aca="false">IFERROR(F20-E20,"")</f>
        <v>24</v>
      </c>
      <c r="H20" s="4" t="s">
        <v>14</v>
      </c>
      <c r="I20" s="4" t="s">
        <v>15</v>
      </c>
    </row>
    <row r="21" customFormat="false" ht="15" hidden="false" customHeight="false" outlineLevel="0" collapsed="false">
      <c r="A21" s="4" t="n">
        <v>17</v>
      </c>
      <c r="B21" s="4" t="s">
        <v>18</v>
      </c>
      <c r="C21" s="4" t="s">
        <v>12</v>
      </c>
      <c r="D21" s="4" t="s">
        <v>13</v>
      </c>
      <c r="E21" s="5" t="n">
        <v>46182</v>
      </c>
      <c r="F21" s="5" t="n">
        <v>46204</v>
      </c>
      <c r="G21" s="4" t="n">
        <f aca="false">IFERROR(F21-E21,"")</f>
        <v>22</v>
      </c>
      <c r="H21" s="4" t="s">
        <v>14</v>
      </c>
      <c r="I21" s="4" t="s">
        <v>15</v>
      </c>
    </row>
    <row r="22" customFormat="false" ht="15" hidden="false" customHeight="false" outlineLevel="0" collapsed="false">
      <c r="A22" s="4" t="n">
        <v>18</v>
      </c>
      <c r="B22" s="4" t="s">
        <v>18</v>
      </c>
      <c r="C22" s="4" t="s">
        <v>12</v>
      </c>
      <c r="D22" s="4" t="s">
        <v>13</v>
      </c>
      <c r="E22" s="5" t="n">
        <v>46174</v>
      </c>
      <c r="F22" s="5" t="n">
        <v>46199</v>
      </c>
      <c r="G22" s="4" t="n">
        <f aca="false">IFERROR(F22-E22,"")</f>
        <v>25</v>
      </c>
      <c r="H22" s="4" t="s">
        <v>14</v>
      </c>
      <c r="I22" s="4" t="s">
        <v>15</v>
      </c>
    </row>
    <row r="23" customFormat="false" ht="15" hidden="false" customHeight="false" outlineLevel="0" collapsed="false">
      <c r="A23" s="4" t="n">
        <v>19</v>
      </c>
      <c r="B23" s="4" t="s">
        <v>18</v>
      </c>
      <c r="C23" s="4" t="s">
        <v>12</v>
      </c>
      <c r="D23" s="4" t="s">
        <v>13</v>
      </c>
      <c r="E23" s="5" t="n">
        <v>46175</v>
      </c>
      <c r="F23" s="5" t="n">
        <v>46199</v>
      </c>
      <c r="G23" s="4" t="n">
        <f aca="false">IFERROR(F23-E23,"")</f>
        <v>24</v>
      </c>
      <c r="H23" s="4" t="s">
        <v>14</v>
      </c>
      <c r="I23" s="4" t="s">
        <v>15</v>
      </c>
    </row>
    <row r="24" customFormat="false" ht="15" hidden="false" customHeight="false" outlineLevel="0" collapsed="false">
      <c r="A24" s="4" t="n">
        <v>20</v>
      </c>
      <c r="B24" s="4" t="s">
        <v>18</v>
      </c>
      <c r="C24" s="4" t="s">
        <v>12</v>
      </c>
      <c r="D24" s="4" t="s">
        <v>13</v>
      </c>
      <c r="E24" s="5" t="n">
        <v>46184</v>
      </c>
      <c r="F24" s="5" t="n">
        <v>46215</v>
      </c>
      <c r="G24" s="4" t="n">
        <f aca="false">IFERROR(F24-E24,"")</f>
        <v>31</v>
      </c>
      <c r="H24" s="4" t="s">
        <v>14</v>
      </c>
      <c r="I24" s="4" t="s">
        <v>15</v>
      </c>
    </row>
    <row r="25" customFormat="false" ht="15" hidden="false" customHeight="false" outlineLevel="0" collapsed="false">
      <c r="A25" s="4" t="n">
        <v>21</v>
      </c>
      <c r="B25" s="4" t="s">
        <v>18</v>
      </c>
      <c r="C25" s="4" t="s">
        <v>12</v>
      </c>
      <c r="D25" s="4" t="s">
        <v>13</v>
      </c>
      <c r="E25" s="5" t="n">
        <v>46184</v>
      </c>
      <c r="F25" s="5" t="n">
        <v>46202</v>
      </c>
      <c r="G25" s="4" t="n">
        <f aca="false">IFERROR(F25-E25,"")</f>
        <v>18</v>
      </c>
      <c r="H25" s="4" t="s">
        <v>14</v>
      </c>
      <c r="I25" s="4" t="s">
        <v>15</v>
      </c>
    </row>
    <row r="26" customFormat="false" ht="15" hidden="false" customHeight="false" outlineLevel="0" collapsed="false">
      <c r="A26" s="4" t="n">
        <v>22</v>
      </c>
      <c r="B26" s="4" t="s">
        <v>18</v>
      </c>
      <c r="C26" s="4" t="s">
        <v>16</v>
      </c>
      <c r="D26" s="4" t="s">
        <v>13</v>
      </c>
      <c r="E26" s="5" t="n">
        <v>46183</v>
      </c>
      <c r="F26" s="5" t="n">
        <v>46205</v>
      </c>
      <c r="G26" s="4" t="n">
        <f aca="false">IFERROR(F26-E26,"")</f>
        <v>22</v>
      </c>
      <c r="H26" s="4" t="s">
        <v>14</v>
      </c>
      <c r="I26" s="4" t="s">
        <v>15</v>
      </c>
    </row>
    <row r="27" customFormat="false" ht="15" hidden="false" customHeight="false" outlineLevel="0" collapsed="false">
      <c r="A27" s="4" t="n">
        <v>23</v>
      </c>
      <c r="B27" s="4" t="s">
        <v>18</v>
      </c>
      <c r="C27" s="4" t="s">
        <v>16</v>
      </c>
      <c r="D27" s="4" t="s">
        <v>13</v>
      </c>
      <c r="E27" s="5" t="n">
        <v>46179</v>
      </c>
      <c r="F27" s="5" t="n">
        <v>46203</v>
      </c>
      <c r="G27" s="4" t="n">
        <f aca="false">IFERROR(F27-E27,"")</f>
        <v>24</v>
      </c>
      <c r="H27" s="4" t="s">
        <v>14</v>
      </c>
      <c r="I27" s="4" t="s">
        <v>15</v>
      </c>
    </row>
    <row r="28" customFormat="false" ht="15" hidden="false" customHeight="false" outlineLevel="0" collapsed="false">
      <c r="A28" s="4" t="n">
        <v>24</v>
      </c>
      <c r="B28" s="4" t="s">
        <v>18</v>
      </c>
      <c r="C28" s="4" t="s">
        <v>16</v>
      </c>
      <c r="D28" s="4" t="s">
        <v>13</v>
      </c>
      <c r="E28" s="5" t="n">
        <v>46174</v>
      </c>
      <c r="F28" s="5" t="n">
        <v>46209</v>
      </c>
      <c r="G28" s="4" t="n">
        <f aca="false">IFERROR(F28-E28,"")</f>
        <v>35</v>
      </c>
      <c r="H28" s="4" t="s">
        <v>14</v>
      </c>
      <c r="I28" s="4" t="s">
        <v>15</v>
      </c>
    </row>
    <row r="29" customFormat="false" ht="15" hidden="false" customHeight="false" outlineLevel="0" collapsed="false">
      <c r="A29" s="4" t="n">
        <v>25</v>
      </c>
      <c r="B29" s="4" t="s">
        <v>18</v>
      </c>
      <c r="C29" s="4" t="s">
        <v>16</v>
      </c>
      <c r="D29" s="4" t="s">
        <v>13</v>
      </c>
      <c r="E29" s="5" t="n">
        <v>46176</v>
      </c>
      <c r="F29" s="5" t="n">
        <v>46199</v>
      </c>
      <c r="G29" s="4" t="n">
        <f aca="false">IFERROR(F29-E29,"")</f>
        <v>23</v>
      </c>
      <c r="H29" s="4" t="s">
        <v>14</v>
      </c>
      <c r="I29" s="4" t="s">
        <v>15</v>
      </c>
    </row>
    <row r="30" customFormat="false" ht="15" hidden="false" customHeight="false" outlineLevel="0" collapsed="false">
      <c r="A30" s="4" t="n">
        <v>26</v>
      </c>
      <c r="B30" s="4" t="s">
        <v>19</v>
      </c>
      <c r="C30" s="4" t="s">
        <v>12</v>
      </c>
      <c r="D30" s="4" t="s">
        <v>13</v>
      </c>
      <c r="E30" s="5" t="n">
        <v>46182</v>
      </c>
      <c r="F30" s="5" t="n">
        <v>46199</v>
      </c>
      <c r="G30" s="4" t="n">
        <f aca="false">IFERROR(F30-E30,"")</f>
        <v>17</v>
      </c>
      <c r="H30" s="4" t="s">
        <v>14</v>
      </c>
      <c r="I30" s="4" t="s">
        <v>15</v>
      </c>
    </row>
    <row r="31" customFormat="false" ht="15" hidden="false" customHeight="false" outlineLevel="0" collapsed="false">
      <c r="A31" s="4" t="n">
        <v>27</v>
      </c>
      <c r="B31" s="4" t="s">
        <v>19</v>
      </c>
      <c r="C31" s="4" t="s">
        <v>12</v>
      </c>
      <c r="D31" s="4" t="s">
        <v>13</v>
      </c>
      <c r="E31" s="5" t="n">
        <v>46174</v>
      </c>
      <c r="F31" s="5" t="n">
        <v>46195</v>
      </c>
      <c r="G31" s="4" t="n">
        <f aca="false">IFERROR(F31-E31,"")</f>
        <v>21</v>
      </c>
      <c r="H31" s="4" t="s">
        <v>14</v>
      </c>
      <c r="I31" s="4" t="s">
        <v>15</v>
      </c>
    </row>
    <row r="32" customFormat="false" ht="15" hidden="false" customHeight="false" outlineLevel="0" collapsed="false">
      <c r="A32" s="4" t="n">
        <v>28</v>
      </c>
      <c r="B32" s="4" t="s">
        <v>19</v>
      </c>
      <c r="C32" s="4" t="s">
        <v>12</v>
      </c>
      <c r="D32" s="4" t="s">
        <v>13</v>
      </c>
      <c r="E32" s="5" t="n">
        <v>46184</v>
      </c>
      <c r="F32" s="5" t="n">
        <v>46204</v>
      </c>
      <c r="G32" s="4" t="n">
        <f aca="false">IFERROR(F32-E32,"")</f>
        <v>20</v>
      </c>
      <c r="H32" s="4" t="s">
        <v>14</v>
      </c>
      <c r="I32" s="4" t="s">
        <v>15</v>
      </c>
    </row>
    <row r="33" customFormat="false" ht="15" hidden="false" customHeight="false" outlineLevel="0" collapsed="false">
      <c r="A33" s="4" t="n">
        <v>29</v>
      </c>
      <c r="B33" s="4" t="s">
        <v>19</v>
      </c>
      <c r="C33" s="4" t="s">
        <v>12</v>
      </c>
      <c r="D33" s="4" t="s">
        <v>13</v>
      </c>
      <c r="E33" s="5" t="n">
        <v>46176</v>
      </c>
      <c r="F33" s="5" t="n">
        <v>46188</v>
      </c>
      <c r="G33" s="4" t="n">
        <f aca="false">IFERROR(F33-E33,"")</f>
        <v>12</v>
      </c>
      <c r="H33" s="4" t="s">
        <v>14</v>
      </c>
      <c r="I33" s="4" t="s">
        <v>15</v>
      </c>
    </row>
    <row r="34" customFormat="false" ht="15" hidden="false" customHeight="false" outlineLevel="0" collapsed="false">
      <c r="A34" s="4" t="n">
        <v>30</v>
      </c>
      <c r="B34" s="4" t="s">
        <v>19</v>
      </c>
      <c r="C34" s="4" t="s">
        <v>16</v>
      </c>
      <c r="D34" s="4" t="s">
        <v>13</v>
      </c>
      <c r="E34" s="5" t="n">
        <v>46176</v>
      </c>
      <c r="F34" s="5" t="n">
        <v>46200</v>
      </c>
      <c r="G34" s="4" t="n">
        <f aca="false">IFERROR(F34-E34,"")</f>
        <v>24</v>
      </c>
      <c r="H34" s="4" t="s">
        <v>14</v>
      </c>
      <c r="I34" s="4" t="s">
        <v>15</v>
      </c>
    </row>
    <row r="35" customFormat="false" ht="15" hidden="false" customHeight="false" outlineLevel="0" collapsed="false">
      <c r="A35" s="4" t="n">
        <v>31</v>
      </c>
      <c r="B35" s="4" t="s">
        <v>19</v>
      </c>
      <c r="C35" s="4" t="s">
        <v>16</v>
      </c>
      <c r="D35" s="4" t="s">
        <v>13</v>
      </c>
      <c r="E35" s="5" t="n">
        <v>46184</v>
      </c>
      <c r="F35" s="5" t="n">
        <v>46204</v>
      </c>
      <c r="G35" s="4" t="n">
        <f aca="false">IFERROR(F35-E35,"")</f>
        <v>20</v>
      </c>
      <c r="H35" s="4" t="s">
        <v>14</v>
      </c>
      <c r="I35" s="4" t="s">
        <v>15</v>
      </c>
    </row>
    <row r="36" customFormat="false" ht="15" hidden="false" customHeight="false" outlineLevel="0" collapsed="false">
      <c r="A36" s="4" t="n">
        <v>32</v>
      </c>
      <c r="B36" s="4" t="s">
        <v>19</v>
      </c>
      <c r="C36" s="4" t="s">
        <v>16</v>
      </c>
      <c r="D36" s="4" t="s">
        <v>13</v>
      </c>
      <c r="E36" s="5" t="n">
        <v>46176</v>
      </c>
      <c r="F36" s="5" t="n">
        <v>46203</v>
      </c>
      <c r="G36" s="4" t="n">
        <f aca="false">IFERROR(F36-E36,"")</f>
        <v>27</v>
      </c>
      <c r="H36" s="4" t="s">
        <v>14</v>
      </c>
      <c r="I36" s="4" t="s">
        <v>15</v>
      </c>
    </row>
    <row r="37" customFormat="false" ht="15" hidden="false" customHeight="false" outlineLevel="0" collapsed="false">
      <c r="A37" s="4" t="n">
        <v>33</v>
      </c>
      <c r="B37" s="4" t="s">
        <v>19</v>
      </c>
      <c r="C37" s="4" t="s">
        <v>16</v>
      </c>
      <c r="D37" s="4" t="s">
        <v>13</v>
      </c>
      <c r="E37" s="5" t="n">
        <v>46182</v>
      </c>
      <c r="F37" s="5" t="n">
        <v>46208</v>
      </c>
      <c r="G37" s="4" t="n">
        <f aca="false">IFERROR(F37-E37,"")</f>
        <v>26</v>
      </c>
      <c r="H37" s="4" t="s">
        <v>14</v>
      </c>
      <c r="I37" s="4" t="s">
        <v>15</v>
      </c>
    </row>
    <row r="38" customFormat="false" ht="15" hidden="false" customHeight="false" outlineLevel="0" collapsed="false">
      <c r="A38" s="4" t="n">
        <v>34</v>
      </c>
      <c r="B38" s="4" t="s">
        <v>19</v>
      </c>
      <c r="C38" s="4" t="s">
        <v>16</v>
      </c>
      <c r="D38" s="4" t="s">
        <v>13</v>
      </c>
      <c r="E38" s="5" t="n">
        <v>46179</v>
      </c>
      <c r="F38" s="5" t="n">
        <v>46198</v>
      </c>
      <c r="G38" s="4" t="n">
        <f aca="false">IFERROR(F38-E38,"")</f>
        <v>19</v>
      </c>
      <c r="H38" s="4" t="s">
        <v>14</v>
      </c>
      <c r="I38" s="4" t="s">
        <v>15</v>
      </c>
    </row>
    <row r="39" customFormat="false" ht="15" hidden="false" customHeight="false" outlineLevel="0" collapsed="false">
      <c r="A39" s="4" t="n">
        <v>35</v>
      </c>
      <c r="B39" s="4" t="s">
        <v>11</v>
      </c>
      <c r="C39" s="4" t="s">
        <v>12</v>
      </c>
      <c r="D39" s="4" t="s">
        <v>20</v>
      </c>
      <c r="E39" s="5" t="n">
        <v>46207</v>
      </c>
      <c r="F39" s="5" t="n">
        <v>46243</v>
      </c>
      <c r="G39" s="4" t="n">
        <f aca="false">IFERROR(F39-E39,"")</f>
        <v>36</v>
      </c>
      <c r="H39" s="4" t="s">
        <v>14</v>
      </c>
      <c r="I39" s="4" t="s">
        <v>15</v>
      </c>
    </row>
    <row r="40" customFormat="false" ht="15" hidden="false" customHeight="false" outlineLevel="0" collapsed="false">
      <c r="A40" s="4" t="n">
        <v>36</v>
      </c>
      <c r="B40" s="4" t="s">
        <v>11</v>
      </c>
      <c r="C40" s="4" t="s">
        <v>12</v>
      </c>
      <c r="D40" s="4" t="s">
        <v>20</v>
      </c>
      <c r="E40" s="5" t="n">
        <v>46211</v>
      </c>
      <c r="F40" s="5" t="n">
        <v>46242</v>
      </c>
      <c r="G40" s="4" t="n">
        <f aca="false">IFERROR(F40-E40,"")</f>
        <v>31</v>
      </c>
      <c r="H40" s="4" t="s">
        <v>14</v>
      </c>
      <c r="I40" s="4" t="s">
        <v>15</v>
      </c>
    </row>
    <row r="41" customFormat="false" ht="15" hidden="false" customHeight="false" outlineLevel="0" collapsed="false">
      <c r="A41" s="4" t="n">
        <v>37</v>
      </c>
      <c r="B41" s="4" t="s">
        <v>11</v>
      </c>
      <c r="C41" s="4" t="s">
        <v>12</v>
      </c>
      <c r="D41" s="4" t="s">
        <v>20</v>
      </c>
      <c r="E41" s="5" t="n">
        <v>46212</v>
      </c>
      <c r="F41" s="5" t="n">
        <v>46241</v>
      </c>
      <c r="G41" s="4" t="n">
        <f aca="false">IFERROR(F41-E41,"")</f>
        <v>29</v>
      </c>
      <c r="H41" s="4" t="s">
        <v>14</v>
      </c>
      <c r="I41" s="4" t="s">
        <v>15</v>
      </c>
    </row>
    <row r="42" customFormat="false" ht="15" hidden="false" customHeight="false" outlineLevel="0" collapsed="false">
      <c r="A42" s="4" t="n">
        <v>38</v>
      </c>
      <c r="B42" s="4" t="s">
        <v>11</v>
      </c>
      <c r="C42" s="4" t="s">
        <v>12</v>
      </c>
      <c r="D42" s="4" t="s">
        <v>20</v>
      </c>
      <c r="E42" s="5" t="n">
        <v>46208</v>
      </c>
      <c r="F42" s="5" t="n">
        <v>46234</v>
      </c>
      <c r="G42" s="4" t="n">
        <f aca="false">IFERROR(F42-E42,"")</f>
        <v>26</v>
      </c>
      <c r="H42" s="4" t="s">
        <v>14</v>
      </c>
      <c r="I42" s="4" t="s">
        <v>15</v>
      </c>
    </row>
    <row r="43" customFormat="false" ht="15" hidden="false" customHeight="false" outlineLevel="0" collapsed="false">
      <c r="A43" s="4" t="n">
        <v>39</v>
      </c>
      <c r="B43" s="4" t="s">
        <v>11</v>
      </c>
      <c r="C43" s="4" t="s">
        <v>16</v>
      </c>
      <c r="D43" s="4" t="s">
        <v>20</v>
      </c>
      <c r="E43" s="5" t="n">
        <v>46212</v>
      </c>
      <c r="F43" s="5" t="n">
        <v>46241</v>
      </c>
      <c r="G43" s="4" t="n">
        <f aca="false">IFERROR(F43-E43,"")</f>
        <v>29</v>
      </c>
      <c r="H43" s="4" t="s">
        <v>14</v>
      </c>
      <c r="I43" s="4" t="s">
        <v>15</v>
      </c>
    </row>
    <row r="44" customFormat="false" ht="15" hidden="false" customHeight="false" outlineLevel="0" collapsed="false">
      <c r="A44" s="4" t="n">
        <v>40</v>
      </c>
      <c r="B44" s="4" t="s">
        <v>11</v>
      </c>
      <c r="C44" s="4" t="s">
        <v>16</v>
      </c>
      <c r="D44" s="4" t="s">
        <v>20</v>
      </c>
      <c r="E44" s="5" t="n">
        <v>46214</v>
      </c>
      <c r="F44" s="5" t="n">
        <v>46236</v>
      </c>
      <c r="G44" s="4" t="n">
        <f aca="false">IFERROR(F44-E44,"")</f>
        <v>22</v>
      </c>
      <c r="H44" s="4" t="s">
        <v>14</v>
      </c>
      <c r="I44" s="4" t="s">
        <v>15</v>
      </c>
    </row>
    <row r="45" customFormat="false" ht="15" hidden="false" customHeight="false" outlineLevel="0" collapsed="false">
      <c r="A45" s="4" t="n">
        <v>41</v>
      </c>
      <c r="B45" s="4" t="s">
        <v>11</v>
      </c>
      <c r="C45" s="4" t="s">
        <v>16</v>
      </c>
      <c r="D45" s="4" t="s">
        <v>20</v>
      </c>
      <c r="E45" s="5" t="n">
        <v>46212</v>
      </c>
      <c r="F45" s="5" t="n">
        <v>46238</v>
      </c>
      <c r="G45" s="4" t="n">
        <f aca="false">IFERROR(F45-E45,"")</f>
        <v>26</v>
      </c>
      <c r="H45" s="4" t="s">
        <v>14</v>
      </c>
      <c r="I45" s="4" t="s">
        <v>21</v>
      </c>
    </row>
    <row r="46" customFormat="false" ht="15" hidden="false" customHeight="false" outlineLevel="0" collapsed="false">
      <c r="A46" s="4" t="n">
        <v>42</v>
      </c>
      <c r="B46" s="4" t="s">
        <v>17</v>
      </c>
      <c r="C46" s="4" t="s">
        <v>12</v>
      </c>
      <c r="D46" s="4" t="s">
        <v>20</v>
      </c>
      <c r="E46" s="5" t="n">
        <v>46207</v>
      </c>
      <c r="F46" s="5" t="n">
        <v>46236</v>
      </c>
      <c r="G46" s="4" t="n">
        <f aca="false">IFERROR(F46-E46,"")</f>
        <v>29</v>
      </c>
      <c r="H46" s="4" t="s">
        <v>14</v>
      </c>
      <c r="I46" s="4" t="s">
        <v>21</v>
      </c>
    </row>
    <row r="47" customFormat="false" ht="15" hidden="false" customHeight="false" outlineLevel="0" collapsed="false">
      <c r="A47" s="4" t="n">
        <v>43</v>
      </c>
      <c r="B47" s="4" t="s">
        <v>17</v>
      </c>
      <c r="C47" s="4" t="s">
        <v>12</v>
      </c>
      <c r="D47" s="4" t="s">
        <v>20</v>
      </c>
      <c r="E47" s="5" t="n">
        <v>46214</v>
      </c>
      <c r="F47" s="5" t="n">
        <v>46244</v>
      </c>
      <c r="G47" s="4" t="n">
        <f aca="false">IFERROR(F47-E47,"")</f>
        <v>30</v>
      </c>
      <c r="H47" s="4" t="s">
        <v>22</v>
      </c>
      <c r="I47" s="4" t="s">
        <v>15</v>
      </c>
    </row>
    <row r="48" customFormat="false" ht="15" hidden="false" customHeight="false" outlineLevel="0" collapsed="false">
      <c r="A48" s="4" t="n">
        <v>44</v>
      </c>
      <c r="B48" s="4" t="s">
        <v>17</v>
      </c>
      <c r="C48" s="4" t="s">
        <v>12</v>
      </c>
      <c r="D48" s="4" t="s">
        <v>20</v>
      </c>
      <c r="E48" s="5" t="n">
        <v>46212</v>
      </c>
      <c r="F48" s="5" t="n">
        <v>46241</v>
      </c>
      <c r="G48" s="4" t="n">
        <f aca="false">IFERROR(F48-E48,"")</f>
        <v>29</v>
      </c>
      <c r="H48" s="4" t="s">
        <v>14</v>
      </c>
      <c r="I48" s="4" t="s">
        <v>15</v>
      </c>
    </row>
    <row r="49" customFormat="false" ht="15" hidden="false" customHeight="false" outlineLevel="0" collapsed="false">
      <c r="A49" s="4" t="n">
        <v>45</v>
      </c>
      <c r="B49" s="4" t="s">
        <v>17</v>
      </c>
      <c r="C49" s="4" t="s">
        <v>12</v>
      </c>
      <c r="D49" s="4" t="s">
        <v>20</v>
      </c>
      <c r="E49" s="5" t="n">
        <v>46207</v>
      </c>
      <c r="F49" s="5" t="n">
        <v>46229</v>
      </c>
      <c r="G49" s="4" t="n">
        <f aca="false">IFERROR(F49-E49,"")</f>
        <v>22</v>
      </c>
      <c r="H49" s="4" t="s">
        <v>14</v>
      </c>
      <c r="I49" s="4" t="s">
        <v>15</v>
      </c>
    </row>
    <row r="50" customFormat="false" ht="15" hidden="false" customHeight="false" outlineLevel="0" collapsed="false">
      <c r="A50" s="4" t="n">
        <v>46</v>
      </c>
      <c r="B50" s="4" t="s">
        <v>17</v>
      </c>
      <c r="C50" s="4" t="s">
        <v>12</v>
      </c>
      <c r="D50" s="4" t="s">
        <v>20</v>
      </c>
      <c r="E50" s="5" t="n">
        <v>46207</v>
      </c>
      <c r="F50" s="5" t="n">
        <v>46234</v>
      </c>
      <c r="G50" s="4" t="n">
        <f aca="false">IFERROR(F50-E50,"")</f>
        <v>27</v>
      </c>
      <c r="H50" s="4" t="s">
        <v>14</v>
      </c>
      <c r="I50" s="4" t="s">
        <v>15</v>
      </c>
    </row>
    <row r="51" customFormat="false" ht="15" hidden="false" customHeight="false" outlineLevel="0" collapsed="false">
      <c r="A51" s="4" t="n">
        <v>47</v>
      </c>
      <c r="B51" s="4" t="s">
        <v>17</v>
      </c>
      <c r="C51" s="4" t="s">
        <v>16</v>
      </c>
      <c r="D51" s="4" t="s">
        <v>20</v>
      </c>
      <c r="E51" s="5" t="n">
        <v>46205</v>
      </c>
      <c r="F51" s="5" t="n">
        <v>46237</v>
      </c>
      <c r="G51" s="4" t="n">
        <f aca="false">IFERROR(F51-E51,"")</f>
        <v>32</v>
      </c>
      <c r="H51" s="4" t="s">
        <v>14</v>
      </c>
      <c r="I51" s="4" t="s">
        <v>15</v>
      </c>
    </row>
    <row r="52" customFormat="false" ht="15" hidden="false" customHeight="false" outlineLevel="0" collapsed="false">
      <c r="A52" s="4" t="n">
        <v>48</v>
      </c>
      <c r="B52" s="4" t="s">
        <v>17</v>
      </c>
      <c r="C52" s="4" t="s">
        <v>16</v>
      </c>
      <c r="D52" s="4" t="s">
        <v>20</v>
      </c>
      <c r="E52" s="5" t="n">
        <v>46204</v>
      </c>
      <c r="F52" s="5" t="n">
        <v>46235</v>
      </c>
      <c r="G52" s="4" t="n">
        <f aca="false">IFERROR(F52-E52,"")</f>
        <v>31</v>
      </c>
      <c r="H52" s="4" t="s">
        <v>14</v>
      </c>
      <c r="I52" s="4" t="s">
        <v>15</v>
      </c>
    </row>
    <row r="53" customFormat="false" ht="15" hidden="false" customHeight="false" outlineLevel="0" collapsed="false">
      <c r="A53" s="4" t="n">
        <v>49</v>
      </c>
      <c r="B53" s="4" t="s">
        <v>17</v>
      </c>
      <c r="C53" s="4" t="s">
        <v>16</v>
      </c>
      <c r="D53" s="4" t="s">
        <v>20</v>
      </c>
      <c r="E53" s="5" t="n">
        <v>46205</v>
      </c>
      <c r="F53" s="5" t="n">
        <v>46239</v>
      </c>
      <c r="G53" s="4" t="n">
        <f aca="false">IFERROR(F53-E53,"")</f>
        <v>34</v>
      </c>
      <c r="H53" s="4" t="s">
        <v>14</v>
      </c>
      <c r="I53" s="4" t="s">
        <v>15</v>
      </c>
    </row>
    <row r="54" customFormat="false" ht="15" hidden="false" customHeight="false" outlineLevel="0" collapsed="false">
      <c r="A54" s="4" t="n">
        <v>50</v>
      </c>
      <c r="B54" s="4" t="s">
        <v>18</v>
      </c>
      <c r="C54" s="4" t="s">
        <v>12</v>
      </c>
      <c r="D54" s="4" t="s">
        <v>20</v>
      </c>
      <c r="E54" s="5" t="n">
        <v>46207</v>
      </c>
      <c r="F54" s="5" t="n">
        <v>46238</v>
      </c>
      <c r="G54" s="4" t="n">
        <f aca="false">IFERROR(F54-E54,"")</f>
        <v>31</v>
      </c>
      <c r="H54" s="4" t="s">
        <v>14</v>
      </c>
      <c r="I54" s="4" t="s">
        <v>15</v>
      </c>
    </row>
    <row r="55" customFormat="false" ht="15" hidden="false" customHeight="false" outlineLevel="0" collapsed="false">
      <c r="A55" s="4" t="n">
        <v>51</v>
      </c>
      <c r="B55" s="4" t="s">
        <v>18</v>
      </c>
      <c r="C55" s="4" t="s">
        <v>12</v>
      </c>
      <c r="D55" s="4" t="s">
        <v>20</v>
      </c>
      <c r="E55" s="5" t="n">
        <v>46206</v>
      </c>
      <c r="F55" s="5" t="n">
        <v>46234</v>
      </c>
      <c r="G55" s="4" t="n">
        <f aca="false">IFERROR(F55-E55,"")</f>
        <v>28</v>
      </c>
      <c r="H55" s="4" t="s">
        <v>14</v>
      </c>
      <c r="I55" s="4" t="s">
        <v>15</v>
      </c>
    </row>
    <row r="56" customFormat="false" ht="15" hidden="false" customHeight="false" outlineLevel="0" collapsed="false">
      <c r="A56" s="4" t="n">
        <v>52</v>
      </c>
      <c r="B56" s="4" t="s">
        <v>18</v>
      </c>
      <c r="C56" s="4" t="s">
        <v>12</v>
      </c>
      <c r="D56" s="4" t="s">
        <v>20</v>
      </c>
      <c r="E56" s="5" t="n">
        <v>46212</v>
      </c>
      <c r="F56" s="5" t="n">
        <v>46243</v>
      </c>
      <c r="G56" s="4" t="n">
        <f aca="false">IFERROR(F56-E56,"")</f>
        <v>31</v>
      </c>
      <c r="H56" s="4" t="s">
        <v>14</v>
      </c>
      <c r="I56" s="4" t="s">
        <v>15</v>
      </c>
    </row>
    <row r="57" customFormat="false" ht="15" hidden="false" customHeight="false" outlineLevel="0" collapsed="false">
      <c r="A57" s="4" t="n">
        <v>53</v>
      </c>
      <c r="B57" s="4" t="s">
        <v>18</v>
      </c>
      <c r="C57" s="4" t="s">
        <v>16</v>
      </c>
      <c r="D57" s="4" t="s">
        <v>20</v>
      </c>
      <c r="E57" s="5" t="n">
        <v>46204</v>
      </c>
      <c r="F57" s="5" t="n">
        <v>46241</v>
      </c>
      <c r="G57" s="4" t="n">
        <f aca="false">IFERROR(F57-E57,"")</f>
        <v>37</v>
      </c>
      <c r="H57" s="4" t="s">
        <v>14</v>
      </c>
      <c r="I57" s="4" t="s">
        <v>15</v>
      </c>
    </row>
    <row r="58" customFormat="false" ht="15" hidden="false" customHeight="false" outlineLevel="0" collapsed="false">
      <c r="A58" s="4" t="n">
        <v>54</v>
      </c>
      <c r="B58" s="4" t="s">
        <v>18</v>
      </c>
      <c r="C58" s="4" t="s">
        <v>16</v>
      </c>
      <c r="D58" s="4" t="s">
        <v>20</v>
      </c>
      <c r="E58" s="5" t="n">
        <v>46211</v>
      </c>
      <c r="F58" s="5" t="n">
        <v>46238</v>
      </c>
      <c r="G58" s="4" t="n">
        <f aca="false">IFERROR(F58-E58,"")</f>
        <v>27</v>
      </c>
      <c r="H58" s="4" t="s">
        <v>14</v>
      </c>
      <c r="I58" s="4" t="s">
        <v>15</v>
      </c>
    </row>
    <row r="59" customFormat="false" ht="15" hidden="false" customHeight="false" outlineLevel="0" collapsed="false">
      <c r="A59" s="4" t="n">
        <v>55</v>
      </c>
      <c r="B59" s="4" t="s">
        <v>18</v>
      </c>
      <c r="C59" s="4" t="s">
        <v>16</v>
      </c>
      <c r="D59" s="4" t="s">
        <v>20</v>
      </c>
      <c r="E59" s="5" t="n">
        <v>46204</v>
      </c>
      <c r="F59" s="5" t="n">
        <v>46233</v>
      </c>
      <c r="G59" s="4" t="n">
        <f aca="false">IFERROR(F59-E59,"")</f>
        <v>29</v>
      </c>
      <c r="H59" s="4" t="s">
        <v>14</v>
      </c>
      <c r="I59" s="4" t="s">
        <v>15</v>
      </c>
    </row>
    <row r="60" customFormat="false" ht="15" hidden="false" customHeight="false" outlineLevel="0" collapsed="false">
      <c r="A60" s="4" t="n">
        <v>56</v>
      </c>
      <c r="B60" s="4" t="s">
        <v>18</v>
      </c>
      <c r="C60" s="4" t="s">
        <v>16</v>
      </c>
      <c r="D60" s="4" t="s">
        <v>20</v>
      </c>
      <c r="E60" s="5" t="n">
        <v>46211</v>
      </c>
      <c r="F60" s="5" t="n">
        <v>46240</v>
      </c>
      <c r="G60" s="4" t="n">
        <f aca="false">IFERROR(F60-E60,"")</f>
        <v>29</v>
      </c>
      <c r="H60" s="4" t="s">
        <v>14</v>
      </c>
      <c r="I60" s="4" t="s">
        <v>15</v>
      </c>
    </row>
    <row r="61" customFormat="false" ht="15" hidden="false" customHeight="false" outlineLevel="0" collapsed="false">
      <c r="A61" s="4" t="n">
        <v>57</v>
      </c>
      <c r="B61" s="4" t="s">
        <v>18</v>
      </c>
      <c r="C61" s="4" t="s">
        <v>16</v>
      </c>
      <c r="D61" s="4" t="s">
        <v>20</v>
      </c>
      <c r="E61" s="5" t="n">
        <v>46212</v>
      </c>
      <c r="F61" s="5" t="n">
        <v>46238</v>
      </c>
      <c r="G61" s="4" t="n">
        <f aca="false">IFERROR(F61-E61,"")</f>
        <v>26</v>
      </c>
      <c r="H61" s="4" t="s">
        <v>14</v>
      </c>
      <c r="I61" s="4" t="s">
        <v>15</v>
      </c>
    </row>
    <row r="62" customFormat="false" ht="15" hidden="false" customHeight="false" outlineLevel="0" collapsed="false">
      <c r="A62" s="4" t="n">
        <v>58</v>
      </c>
      <c r="B62" s="4" t="s">
        <v>19</v>
      </c>
      <c r="C62" s="4" t="s">
        <v>12</v>
      </c>
      <c r="D62" s="4" t="s">
        <v>20</v>
      </c>
      <c r="E62" s="5" t="n">
        <v>46213</v>
      </c>
      <c r="F62" s="5" t="n">
        <v>46238</v>
      </c>
      <c r="G62" s="4" t="n">
        <f aca="false">IFERROR(F62-E62,"")</f>
        <v>25</v>
      </c>
      <c r="H62" s="4" t="s">
        <v>14</v>
      </c>
      <c r="I62" s="4" t="s">
        <v>15</v>
      </c>
    </row>
    <row r="63" customFormat="false" ht="15" hidden="false" customHeight="false" outlineLevel="0" collapsed="false">
      <c r="A63" s="4" t="n">
        <v>59</v>
      </c>
      <c r="B63" s="4" t="s">
        <v>19</v>
      </c>
      <c r="C63" s="4" t="s">
        <v>12</v>
      </c>
      <c r="D63" s="4" t="s">
        <v>20</v>
      </c>
      <c r="E63" s="5" t="n">
        <v>46209</v>
      </c>
      <c r="F63" s="5" t="n">
        <v>46242</v>
      </c>
      <c r="G63" s="4" t="n">
        <f aca="false">IFERROR(F63-E63,"")</f>
        <v>33</v>
      </c>
      <c r="H63" s="4" t="s">
        <v>14</v>
      </c>
      <c r="I63" s="4" t="s">
        <v>15</v>
      </c>
    </row>
    <row r="64" customFormat="false" ht="15" hidden="false" customHeight="false" outlineLevel="0" collapsed="false">
      <c r="A64" s="4" t="n">
        <v>60</v>
      </c>
      <c r="B64" s="4" t="s">
        <v>19</v>
      </c>
      <c r="C64" s="4" t="s">
        <v>12</v>
      </c>
      <c r="D64" s="4" t="s">
        <v>20</v>
      </c>
      <c r="E64" s="5" t="n">
        <v>46206</v>
      </c>
      <c r="F64" s="5" t="n">
        <v>46236</v>
      </c>
      <c r="G64" s="4" t="n">
        <f aca="false">IFERROR(F64-E64,"")</f>
        <v>30</v>
      </c>
      <c r="H64" s="4" t="s">
        <v>14</v>
      </c>
      <c r="I64" s="4" t="s">
        <v>15</v>
      </c>
    </row>
    <row r="65" customFormat="false" ht="15" hidden="false" customHeight="false" outlineLevel="0" collapsed="false">
      <c r="A65" s="4" t="n">
        <v>61</v>
      </c>
      <c r="B65" s="4" t="s">
        <v>19</v>
      </c>
      <c r="C65" s="4" t="s">
        <v>16</v>
      </c>
      <c r="D65" s="4" t="s">
        <v>20</v>
      </c>
      <c r="E65" s="5" t="n">
        <v>46205</v>
      </c>
      <c r="F65" s="5" t="n">
        <v>46229</v>
      </c>
      <c r="G65" s="4" t="n">
        <f aca="false">IFERROR(F65-E65,"")</f>
        <v>24</v>
      </c>
      <c r="H65" s="4" t="s">
        <v>14</v>
      </c>
      <c r="I65" s="4" t="s">
        <v>15</v>
      </c>
    </row>
    <row r="66" customFormat="false" ht="15" hidden="false" customHeight="false" outlineLevel="0" collapsed="false">
      <c r="A66" s="4" t="n">
        <v>62</v>
      </c>
      <c r="B66" s="4" t="s">
        <v>19</v>
      </c>
      <c r="C66" s="4" t="s">
        <v>16</v>
      </c>
      <c r="D66" s="4" t="s">
        <v>20</v>
      </c>
      <c r="E66" s="5" t="n">
        <v>46213</v>
      </c>
      <c r="F66" s="5" t="n">
        <v>46238</v>
      </c>
      <c r="G66" s="4" t="n">
        <f aca="false">IFERROR(F66-E66,"")</f>
        <v>25</v>
      </c>
      <c r="H66" s="4" t="s">
        <v>14</v>
      </c>
      <c r="I66" s="4" t="s">
        <v>15</v>
      </c>
    </row>
    <row r="67" customFormat="false" ht="15" hidden="false" customHeight="false" outlineLevel="0" collapsed="false">
      <c r="A67" s="4" t="n">
        <v>63</v>
      </c>
      <c r="B67" s="4" t="s">
        <v>19</v>
      </c>
      <c r="C67" s="4" t="s">
        <v>16</v>
      </c>
      <c r="D67" s="4" t="s">
        <v>20</v>
      </c>
      <c r="E67" s="5" t="n">
        <v>46213</v>
      </c>
      <c r="F67" s="5" t="n">
        <v>46247</v>
      </c>
      <c r="G67" s="4" t="n">
        <f aca="false">IFERROR(F67-E67,"")</f>
        <v>34</v>
      </c>
      <c r="H67" s="4" t="s">
        <v>14</v>
      </c>
      <c r="I67" s="4" t="s">
        <v>15</v>
      </c>
    </row>
    <row r="68" customFormat="false" ht="15" hidden="false" customHeight="false" outlineLevel="0" collapsed="false">
      <c r="A68" s="4" t="n">
        <v>64</v>
      </c>
      <c r="B68" s="4" t="s">
        <v>11</v>
      </c>
      <c r="C68" s="4" t="s">
        <v>12</v>
      </c>
      <c r="D68" s="4" t="s">
        <v>23</v>
      </c>
      <c r="E68" s="5" t="n">
        <v>46238</v>
      </c>
      <c r="F68" s="5" t="n">
        <v>46276</v>
      </c>
      <c r="G68" s="4" t="n">
        <f aca="false">IFERROR(F68-E68,"")</f>
        <v>38</v>
      </c>
      <c r="H68" s="4" t="s">
        <v>14</v>
      </c>
      <c r="I68" s="4" t="s">
        <v>15</v>
      </c>
    </row>
    <row r="69" customFormat="false" ht="15" hidden="false" customHeight="false" outlineLevel="0" collapsed="false">
      <c r="A69" s="4" t="n">
        <v>65</v>
      </c>
      <c r="B69" s="4" t="s">
        <v>11</v>
      </c>
      <c r="C69" s="4" t="s">
        <v>12</v>
      </c>
      <c r="D69" s="4" t="s">
        <v>23</v>
      </c>
      <c r="E69" s="5" t="n">
        <v>46239</v>
      </c>
      <c r="F69" s="5" t="n">
        <v>46270</v>
      </c>
      <c r="G69" s="4" t="n">
        <f aca="false">IFERROR(F69-E69,"")</f>
        <v>31</v>
      </c>
      <c r="H69" s="4" t="s">
        <v>14</v>
      </c>
      <c r="I69" s="4" t="s">
        <v>15</v>
      </c>
    </row>
    <row r="70" customFormat="false" ht="15" hidden="false" customHeight="false" outlineLevel="0" collapsed="false">
      <c r="A70" s="4" t="n">
        <v>66</v>
      </c>
      <c r="B70" s="4" t="s">
        <v>11</v>
      </c>
      <c r="C70" s="4" t="s">
        <v>12</v>
      </c>
      <c r="D70" s="4" t="s">
        <v>23</v>
      </c>
      <c r="E70" s="5" t="n">
        <v>46236</v>
      </c>
      <c r="F70" s="5" t="n">
        <v>46275</v>
      </c>
      <c r="G70" s="4" t="n">
        <f aca="false">IFERROR(F70-E70,"")</f>
        <v>39</v>
      </c>
      <c r="H70" s="4" t="s">
        <v>22</v>
      </c>
      <c r="I70" s="4" t="s">
        <v>15</v>
      </c>
    </row>
    <row r="71" customFormat="false" ht="15" hidden="false" customHeight="false" outlineLevel="0" collapsed="false">
      <c r="A71" s="4" t="n">
        <v>67</v>
      </c>
      <c r="B71" s="4" t="s">
        <v>11</v>
      </c>
      <c r="C71" s="4" t="s">
        <v>12</v>
      </c>
      <c r="D71" s="4" t="s">
        <v>23</v>
      </c>
      <c r="E71" s="5" t="n">
        <v>46244</v>
      </c>
      <c r="F71" s="5" t="n">
        <v>46281</v>
      </c>
      <c r="G71" s="4" t="n">
        <f aca="false">IFERROR(F71-E71,"")</f>
        <v>37</v>
      </c>
      <c r="H71" s="4" t="s">
        <v>14</v>
      </c>
      <c r="I71" s="4" t="s">
        <v>15</v>
      </c>
    </row>
    <row r="72" customFormat="false" ht="15" hidden="false" customHeight="false" outlineLevel="0" collapsed="false">
      <c r="A72" s="4" t="n">
        <v>68</v>
      </c>
      <c r="B72" s="4" t="s">
        <v>11</v>
      </c>
      <c r="C72" s="4" t="s">
        <v>16</v>
      </c>
      <c r="D72" s="4" t="s">
        <v>23</v>
      </c>
      <c r="E72" s="5" t="n">
        <v>46236</v>
      </c>
      <c r="F72" s="5" t="n">
        <v>46271</v>
      </c>
      <c r="G72" s="4" t="n">
        <f aca="false">IFERROR(F72-E72,"")</f>
        <v>35</v>
      </c>
      <c r="H72" s="4" t="s">
        <v>14</v>
      </c>
      <c r="I72" s="4" t="s">
        <v>15</v>
      </c>
    </row>
    <row r="73" customFormat="false" ht="15" hidden="false" customHeight="false" outlineLevel="0" collapsed="false">
      <c r="A73" s="4" t="n">
        <v>69</v>
      </c>
      <c r="B73" s="4" t="s">
        <v>11</v>
      </c>
      <c r="C73" s="4" t="s">
        <v>16</v>
      </c>
      <c r="D73" s="4" t="s">
        <v>23</v>
      </c>
      <c r="E73" s="5" t="n">
        <v>46237</v>
      </c>
      <c r="F73" s="5" t="n">
        <v>46268</v>
      </c>
      <c r="G73" s="4" t="n">
        <f aca="false">IFERROR(F73-E73,"")</f>
        <v>31</v>
      </c>
      <c r="H73" s="4" t="s">
        <v>14</v>
      </c>
      <c r="I73" s="4" t="s">
        <v>15</v>
      </c>
    </row>
    <row r="74" customFormat="false" ht="15" hidden="false" customHeight="false" outlineLevel="0" collapsed="false">
      <c r="A74" s="4" t="n">
        <v>70</v>
      </c>
      <c r="B74" s="4" t="s">
        <v>11</v>
      </c>
      <c r="C74" s="4" t="s">
        <v>16</v>
      </c>
      <c r="D74" s="4" t="s">
        <v>23</v>
      </c>
      <c r="E74" s="5" t="n">
        <v>46245</v>
      </c>
      <c r="F74" s="5" t="n">
        <v>46282</v>
      </c>
      <c r="G74" s="4" t="n">
        <f aca="false">IFERROR(F74-E74,"")</f>
        <v>37</v>
      </c>
      <c r="H74" s="4" t="s">
        <v>14</v>
      </c>
      <c r="I74" s="4" t="s">
        <v>15</v>
      </c>
    </row>
    <row r="75" customFormat="false" ht="15" hidden="false" customHeight="false" outlineLevel="0" collapsed="false">
      <c r="A75" s="4" t="n">
        <v>71</v>
      </c>
      <c r="B75" s="4" t="s">
        <v>11</v>
      </c>
      <c r="C75" s="4" t="s">
        <v>16</v>
      </c>
      <c r="D75" s="4" t="s">
        <v>23</v>
      </c>
      <c r="E75" s="5" t="n">
        <v>46243</v>
      </c>
      <c r="F75" s="5" t="n">
        <v>46277</v>
      </c>
      <c r="G75" s="4" t="n">
        <f aca="false">IFERROR(F75-E75,"")</f>
        <v>34</v>
      </c>
      <c r="H75" s="4" t="s">
        <v>14</v>
      </c>
      <c r="I75" s="4" t="s">
        <v>15</v>
      </c>
    </row>
    <row r="76" customFormat="false" ht="15" hidden="false" customHeight="false" outlineLevel="0" collapsed="false">
      <c r="A76" s="4" t="n">
        <v>72</v>
      </c>
      <c r="B76" s="4" t="s">
        <v>17</v>
      </c>
      <c r="C76" s="4" t="s">
        <v>12</v>
      </c>
      <c r="D76" s="4" t="s">
        <v>23</v>
      </c>
      <c r="E76" s="5" t="n">
        <v>46236</v>
      </c>
      <c r="F76" s="5" t="n">
        <v>46277</v>
      </c>
      <c r="G76" s="4" t="n">
        <f aca="false">IFERROR(F76-E76,"")</f>
        <v>41</v>
      </c>
      <c r="H76" s="4" t="s">
        <v>14</v>
      </c>
      <c r="I76" s="4" t="s">
        <v>15</v>
      </c>
    </row>
    <row r="77" customFormat="false" ht="15" hidden="false" customHeight="false" outlineLevel="0" collapsed="false">
      <c r="A77" s="4" t="n">
        <v>73</v>
      </c>
      <c r="B77" s="4" t="s">
        <v>17</v>
      </c>
      <c r="C77" s="4" t="s">
        <v>12</v>
      </c>
      <c r="D77" s="4" t="s">
        <v>23</v>
      </c>
      <c r="E77" s="5" t="n">
        <v>46239</v>
      </c>
      <c r="F77" s="5" t="n">
        <v>46269</v>
      </c>
      <c r="G77" s="4" t="n">
        <f aca="false">IFERROR(F77-E77,"")</f>
        <v>30</v>
      </c>
      <c r="H77" s="4" t="s">
        <v>14</v>
      </c>
      <c r="I77" s="4" t="s">
        <v>15</v>
      </c>
    </row>
    <row r="78" customFormat="false" ht="15" hidden="false" customHeight="false" outlineLevel="0" collapsed="false">
      <c r="A78" s="4" t="n">
        <v>74</v>
      </c>
      <c r="B78" s="4" t="s">
        <v>17</v>
      </c>
      <c r="C78" s="4" t="s">
        <v>12</v>
      </c>
      <c r="D78" s="4" t="s">
        <v>23</v>
      </c>
      <c r="E78" s="5" t="n">
        <v>46239</v>
      </c>
      <c r="F78" s="5" t="n">
        <v>46271</v>
      </c>
      <c r="G78" s="4" t="n">
        <f aca="false">IFERROR(F78-E78,"")</f>
        <v>32</v>
      </c>
      <c r="H78" s="4" t="s">
        <v>14</v>
      </c>
      <c r="I78" s="4" t="s">
        <v>15</v>
      </c>
    </row>
    <row r="79" customFormat="false" ht="15" hidden="false" customHeight="false" outlineLevel="0" collapsed="false">
      <c r="A79" s="4" t="n">
        <v>75</v>
      </c>
      <c r="B79" s="4" t="s">
        <v>17</v>
      </c>
      <c r="C79" s="4" t="s">
        <v>16</v>
      </c>
      <c r="D79" s="4" t="s">
        <v>23</v>
      </c>
      <c r="E79" s="5" t="n">
        <v>46236</v>
      </c>
      <c r="F79" s="5" t="n">
        <v>46267</v>
      </c>
      <c r="G79" s="4" t="n">
        <f aca="false">IFERROR(F79-E79,"")</f>
        <v>31</v>
      </c>
      <c r="H79" s="4" t="s">
        <v>22</v>
      </c>
      <c r="I79" s="4" t="s">
        <v>15</v>
      </c>
    </row>
    <row r="80" customFormat="false" ht="15" hidden="false" customHeight="false" outlineLevel="0" collapsed="false">
      <c r="A80" s="4" t="n">
        <v>76</v>
      </c>
      <c r="B80" s="4" t="s">
        <v>17</v>
      </c>
      <c r="C80" s="4" t="s">
        <v>16</v>
      </c>
      <c r="D80" s="4" t="s">
        <v>23</v>
      </c>
      <c r="E80" s="5" t="n">
        <v>46237</v>
      </c>
      <c r="F80" s="5" t="n">
        <v>46267</v>
      </c>
      <c r="G80" s="4" t="n">
        <f aca="false">IFERROR(F80-E80,"")</f>
        <v>30</v>
      </c>
      <c r="H80" s="4" t="s">
        <v>14</v>
      </c>
      <c r="I80" s="4" t="s">
        <v>15</v>
      </c>
    </row>
    <row r="81" customFormat="false" ht="15" hidden="false" customHeight="false" outlineLevel="0" collapsed="false">
      <c r="A81" s="4" t="n">
        <v>77</v>
      </c>
      <c r="B81" s="4" t="s">
        <v>17</v>
      </c>
      <c r="C81" s="4" t="s">
        <v>16</v>
      </c>
      <c r="D81" s="4" t="s">
        <v>23</v>
      </c>
      <c r="E81" s="5" t="n">
        <v>46242</v>
      </c>
      <c r="F81" s="5" t="n">
        <v>46273</v>
      </c>
      <c r="G81" s="4" t="n">
        <f aca="false">IFERROR(F81-E81,"")</f>
        <v>31</v>
      </c>
      <c r="H81" s="4" t="s">
        <v>22</v>
      </c>
      <c r="I81" s="4" t="s">
        <v>15</v>
      </c>
    </row>
    <row r="82" customFormat="false" ht="15" hidden="false" customHeight="false" outlineLevel="0" collapsed="false">
      <c r="A82" s="4" t="n">
        <v>78</v>
      </c>
      <c r="B82" s="4" t="s">
        <v>18</v>
      </c>
      <c r="C82" s="4" t="s">
        <v>12</v>
      </c>
      <c r="D82" s="4" t="s">
        <v>23</v>
      </c>
      <c r="E82" s="5" t="n">
        <v>46237</v>
      </c>
      <c r="F82" s="5" t="n">
        <v>46271</v>
      </c>
      <c r="G82" s="4" t="n">
        <f aca="false">IFERROR(F82-E82,"")</f>
        <v>34</v>
      </c>
      <c r="H82" s="4" t="s">
        <v>14</v>
      </c>
      <c r="I82" s="4" t="s">
        <v>15</v>
      </c>
    </row>
    <row r="83" customFormat="false" ht="15" hidden="false" customHeight="false" outlineLevel="0" collapsed="false">
      <c r="A83" s="4" t="n">
        <v>79</v>
      </c>
      <c r="B83" s="4" t="s">
        <v>18</v>
      </c>
      <c r="C83" s="4" t="s">
        <v>12</v>
      </c>
      <c r="D83" s="4" t="s">
        <v>23</v>
      </c>
      <c r="E83" s="5" t="n">
        <v>46244</v>
      </c>
      <c r="F83" s="5" t="n">
        <v>46275</v>
      </c>
      <c r="G83" s="4" t="n">
        <f aca="false">IFERROR(F83-E83,"")</f>
        <v>31</v>
      </c>
      <c r="H83" s="4" t="s">
        <v>22</v>
      </c>
      <c r="I83" s="4" t="s">
        <v>15</v>
      </c>
    </row>
    <row r="84" customFormat="false" ht="15" hidden="false" customHeight="false" outlineLevel="0" collapsed="false">
      <c r="A84" s="4" t="n">
        <v>80</v>
      </c>
      <c r="B84" s="4" t="s">
        <v>18</v>
      </c>
      <c r="C84" s="4" t="s">
        <v>12</v>
      </c>
      <c r="D84" s="4" t="s">
        <v>23</v>
      </c>
      <c r="E84" s="5" t="n">
        <v>46235</v>
      </c>
      <c r="F84" s="5" t="n">
        <v>46269</v>
      </c>
      <c r="G84" s="4" t="n">
        <f aca="false">IFERROR(F84-E84,"")</f>
        <v>34</v>
      </c>
      <c r="H84" s="4" t="s">
        <v>14</v>
      </c>
      <c r="I84" s="4" t="s">
        <v>15</v>
      </c>
    </row>
    <row r="85" customFormat="false" ht="15" hidden="false" customHeight="false" outlineLevel="0" collapsed="false">
      <c r="A85" s="4" t="n">
        <v>81</v>
      </c>
      <c r="B85" s="4" t="s">
        <v>18</v>
      </c>
      <c r="C85" s="4" t="s">
        <v>12</v>
      </c>
      <c r="D85" s="4" t="s">
        <v>23</v>
      </c>
      <c r="E85" s="5" t="n">
        <v>46238</v>
      </c>
      <c r="F85" s="5" t="n">
        <v>46272</v>
      </c>
      <c r="G85" s="4" t="n">
        <f aca="false">IFERROR(F85-E85,"")</f>
        <v>34</v>
      </c>
      <c r="H85" s="4" t="s">
        <v>14</v>
      </c>
      <c r="I85" s="4" t="s">
        <v>15</v>
      </c>
    </row>
    <row r="86" customFormat="false" ht="15" hidden="false" customHeight="false" outlineLevel="0" collapsed="false">
      <c r="A86" s="4" t="n">
        <v>82</v>
      </c>
      <c r="B86" s="4" t="s">
        <v>18</v>
      </c>
      <c r="C86" s="4" t="s">
        <v>12</v>
      </c>
      <c r="D86" s="4" t="s">
        <v>23</v>
      </c>
      <c r="E86" s="5" t="n">
        <v>46244</v>
      </c>
      <c r="F86" s="5" t="n">
        <v>46276</v>
      </c>
      <c r="G86" s="4" t="n">
        <f aca="false">IFERROR(F86-E86,"")</f>
        <v>32</v>
      </c>
      <c r="H86" s="4" t="s">
        <v>14</v>
      </c>
      <c r="I86" s="4" t="s">
        <v>15</v>
      </c>
    </row>
    <row r="87" customFormat="false" ht="15" hidden="false" customHeight="false" outlineLevel="0" collapsed="false">
      <c r="A87" s="4" t="n">
        <v>83</v>
      </c>
      <c r="B87" s="4" t="s">
        <v>18</v>
      </c>
      <c r="C87" s="4" t="s">
        <v>16</v>
      </c>
      <c r="D87" s="4" t="s">
        <v>23</v>
      </c>
      <c r="E87" s="5" t="n">
        <v>46237</v>
      </c>
      <c r="F87" s="5" t="n">
        <v>46280</v>
      </c>
      <c r="G87" s="4" t="n">
        <f aca="false">IFERROR(F87-E87,"")</f>
        <v>43</v>
      </c>
      <c r="H87" s="4" t="s">
        <v>14</v>
      </c>
      <c r="I87" s="4" t="s">
        <v>21</v>
      </c>
    </row>
    <row r="88" customFormat="false" ht="15" hidden="false" customHeight="false" outlineLevel="0" collapsed="false">
      <c r="A88" s="4" t="n">
        <v>84</v>
      </c>
      <c r="B88" s="4" t="s">
        <v>18</v>
      </c>
      <c r="C88" s="4" t="s">
        <v>16</v>
      </c>
      <c r="D88" s="4" t="s">
        <v>23</v>
      </c>
      <c r="E88" s="5" t="n">
        <v>46240</v>
      </c>
      <c r="F88" s="5" t="n">
        <v>46274</v>
      </c>
      <c r="G88" s="4" t="n">
        <f aca="false">IFERROR(F88-E88,"")</f>
        <v>34</v>
      </c>
      <c r="H88" s="4" t="s">
        <v>14</v>
      </c>
      <c r="I88" s="4" t="s">
        <v>15</v>
      </c>
    </row>
    <row r="89" customFormat="false" ht="15" hidden="false" customHeight="false" outlineLevel="0" collapsed="false">
      <c r="A89" s="4" t="n">
        <v>85</v>
      </c>
      <c r="B89" s="4" t="s">
        <v>18</v>
      </c>
      <c r="C89" s="4" t="s">
        <v>16</v>
      </c>
      <c r="D89" s="4" t="s">
        <v>23</v>
      </c>
      <c r="E89" s="5" t="n">
        <v>46245</v>
      </c>
      <c r="F89" s="5" t="n">
        <v>46285</v>
      </c>
      <c r="G89" s="4" t="n">
        <f aca="false">IFERROR(F89-E89,"")</f>
        <v>40</v>
      </c>
      <c r="H89" s="4" t="s">
        <v>14</v>
      </c>
      <c r="I89" s="4" t="s">
        <v>15</v>
      </c>
    </row>
    <row r="90" customFormat="false" ht="15" hidden="false" customHeight="false" outlineLevel="0" collapsed="false">
      <c r="A90" s="4" t="n">
        <v>86</v>
      </c>
      <c r="B90" s="4" t="s">
        <v>19</v>
      </c>
      <c r="C90" s="4" t="s">
        <v>12</v>
      </c>
      <c r="D90" s="4" t="s">
        <v>23</v>
      </c>
      <c r="E90" s="5" t="n">
        <v>46241</v>
      </c>
      <c r="F90" s="5" t="n">
        <v>46271</v>
      </c>
      <c r="G90" s="4" t="n">
        <f aca="false">IFERROR(F90-E90,"")</f>
        <v>30</v>
      </c>
      <c r="H90" s="4" t="s">
        <v>14</v>
      </c>
      <c r="I90" s="4" t="s">
        <v>15</v>
      </c>
    </row>
    <row r="91" customFormat="false" ht="15" hidden="false" customHeight="false" outlineLevel="0" collapsed="false">
      <c r="A91" s="4" t="n">
        <v>87</v>
      </c>
      <c r="B91" s="4" t="s">
        <v>19</v>
      </c>
      <c r="C91" s="4" t="s">
        <v>12</v>
      </c>
      <c r="D91" s="4" t="s">
        <v>23</v>
      </c>
      <c r="E91" s="5" t="n">
        <v>46238</v>
      </c>
      <c r="F91" s="5" t="n">
        <v>46276</v>
      </c>
      <c r="G91" s="4" t="n">
        <f aca="false">IFERROR(F91-E91,"")</f>
        <v>38</v>
      </c>
      <c r="H91" s="4" t="s">
        <v>14</v>
      </c>
      <c r="I91" s="4" t="s">
        <v>15</v>
      </c>
    </row>
    <row r="92" customFormat="false" ht="15" hidden="false" customHeight="false" outlineLevel="0" collapsed="false">
      <c r="A92" s="4" t="n">
        <v>88</v>
      </c>
      <c r="B92" s="4" t="s">
        <v>19</v>
      </c>
      <c r="C92" s="4" t="s">
        <v>12</v>
      </c>
      <c r="D92" s="4" t="s">
        <v>23</v>
      </c>
      <c r="E92" s="5" t="n">
        <v>46238</v>
      </c>
      <c r="F92" s="5" t="n">
        <v>46282</v>
      </c>
      <c r="G92" s="4" t="n">
        <f aca="false">IFERROR(F92-E92,"")</f>
        <v>44</v>
      </c>
      <c r="H92" s="4" t="s">
        <v>14</v>
      </c>
      <c r="I92" s="4" t="s">
        <v>15</v>
      </c>
    </row>
    <row r="93" customFormat="false" ht="15" hidden="false" customHeight="false" outlineLevel="0" collapsed="false">
      <c r="A93" s="4" t="n">
        <v>89</v>
      </c>
      <c r="B93" s="4" t="s">
        <v>19</v>
      </c>
      <c r="C93" s="4" t="s">
        <v>16</v>
      </c>
      <c r="D93" s="4" t="s">
        <v>23</v>
      </c>
      <c r="E93" s="5" t="n">
        <v>46240</v>
      </c>
      <c r="F93" s="5" t="n">
        <v>46275</v>
      </c>
      <c r="G93" s="4" t="n">
        <f aca="false">IFERROR(F93-E93,"")</f>
        <v>35</v>
      </c>
      <c r="H93" s="4" t="s">
        <v>14</v>
      </c>
      <c r="I93" s="4" t="s">
        <v>15</v>
      </c>
    </row>
    <row r="94" customFormat="false" ht="15" hidden="false" customHeight="false" outlineLevel="0" collapsed="false">
      <c r="A94" s="4" t="n">
        <v>90</v>
      </c>
      <c r="B94" s="4" t="s">
        <v>19</v>
      </c>
      <c r="C94" s="4" t="s">
        <v>16</v>
      </c>
      <c r="D94" s="4" t="s">
        <v>23</v>
      </c>
      <c r="E94" s="5" t="n">
        <v>46243</v>
      </c>
      <c r="F94" s="5" t="n">
        <v>46280</v>
      </c>
      <c r="G94" s="4" t="n">
        <f aca="false">IFERROR(F94-E94,"")</f>
        <v>37</v>
      </c>
      <c r="H94" s="4" t="s">
        <v>14</v>
      </c>
      <c r="I94" s="4" t="s">
        <v>15</v>
      </c>
    </row>
    <row r="95" customFormat="false" ht="15" hidden="false" customHeight="false" outlineLevel="0" collapsed="false">
      <c r="A95" s="4" t="n">
        <v>91</v>
      </c>
      <c r="B95" s="4" t="s">
        <v>19</v>
      </c>
      <c r="C95" s="4" t="s">
        <v>16</v>
      </c>
      <c r="D95" s="4" t="s">
        <v>23</v>
      </c>
      <c r="E95" s="5" t="n">
        <v>46243</v>
      </c>
      <c r="F95" s="5" t="n">
        <v>46278</v>
      </c>
      <c r="G95" s="4" t="n">
        <f aca="false">IFERROR(F95-E95,"")</f>
        <v>35</v>
      </c>
      <c r="H95" s="4" t="s">
        <v>14</v>
      </c>
      <c r="I95" s="4" t="s">
        <v>15</v>
      </c>
    </row>
    <row r="96" customFormat="false" ht="15" hidden="false" customHeight="false" outlineLevel="0" collapsed="false">
      <c r="A96" s="4" t="n">
        <v>92</v>
      </c>
      <c r="B96" s="4" t="s">
        <v>19</v>
      </c>
      <c r="C96" s="4" t="s">
        <v>16</v>
      </c>
      <c r="D96" s="4" t="s">
        <v>23</v>
      </c>
      <c r="E96" s="5" t="n">
        <v>46244</v>
      </c>
      <c r="F96" s="5" t="n">
        <v>46280</v>
      </c>
      <c r="G96" s="4" t="n">
        <f aca="false">IFERROR(F96-E96,"")</f>
        <v>36</v>
      </c>
      <c r="H96" s="4" t="s">
        <v>14</v>
      </c>
      <c r="I96" s="4" t="s">
        <v>15</v>
      </c>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53125" defaultRowHeight="15" customHeight="false" zeroHeight="false" outlineLevelRow="0" outlineLevelCol="0"/>
  <cols>
    <col collapsed="false" customWidth="true" hidden="false" outlineLevel="0" max="1" min="1" style="0" width="22"/>
    <col collapsed="false" customWidth="true" hidden="false" outlineLevel="0" max="2" min="2" style="0" width="12"/>
    <col collapsed="false" customWidth="true" hidden="false" outlineLevel="0" max="3" min="3" style="0" width="11"/>
    <col collapsed="false" customWidth="true" hidden="false" outlineLevel="0" max="5" min="4" style="0" width="18"/>
    <col collapsed="false" customWidth="true" hidden="false" outlineLevel="0" max="6" min="6" style="0" width="20"/>
  </cols>
  <sheetData>
    <row r="1" customFormat="false" ht="21.75" hidden="false" customHeight="true" outlineLevel="0" collapsed="false">
      <c r="A1" s="1" t="s">
        <v>24</v>
      </c>
      <c r="B1" s="1"/>
      <c r="C1" s="1"/>
      <c r="D1" s="1"/>
      <c r="E1" s="1"/>
      <c r="F1" s="1"/>
    </row>
    <row r="2" customFormat="false" ht="15.75" hidden="false" customHeight="true" outlineLevel="0" collapsed="false">
      <c r="A2" s="2" t="s">
        <v>25</v>
      </c>
      <c r="B2" s="2"/>
      <c r="C2" s="2"/>
      <c r="D2" s="2"/>
      <c r="E2" s="2"/>
      <c r="F2" s="2"/>
    </row>
    <row r="4" customFormat="false" ht="15" hidden="false" customHeight="false" outlineLevel="0" collapsed="false">
      <c r="A4" s="6" t="s">
        <v>26</v>
      </c>
      <c r="C4" s="6" t="s">
        <v>27</v>
      </c>
      <c r="E4" s="6" t="s">
        <v>28</v>
      </c>
    </row>
    <row r="5" customFormat="false" ht="24.45" hidden="false" customHeight="false" outlineLevel="0" collapsed="false">
      <c r="A5" s="7" t="n">
        <f aca="false">IFERROR(COUNTIF('Données brutes'!H5:H96,"Oui")/COUNTA('Données brutes'!A5:A96)*100,0)</f>
        <v>5.43478260869565</v>
      </c>
      <c r="C5" s="8" t="n">
        <f aca="false">IFERROR(AVERAGE('Données brutes'!G5:G96),0)</f>
        <v>28.6195652173913</v>
      </c>
      <c r="E5" s="7" t="n">
        <f aca="false">IFERROR(COUNTIF('Données brutes'!I5:I96,"Conforme")/COUNTA('Données brutes'!A5:A96)*100,0)</f>
        <v>96.7391304347826</v>
      </c>
    </row>
    <row r="6" customFormat="false" ht="15" hidden="false" customHeight="false" outlineLevel="0" collapsed="false">
      <c r="A6" s="9" t="s">
        <v>29</v>
      </c>
      <c r="C6" s="9" t="s">
        <v>30</v>
      </c>
      <c r="E6" s="9" t="s">
        <v>31</v>
      </c>
    </row>
    <row r="9" customFormat="false" ht="15" hidden="false" customHeight="false" outlineLevel="0" collapsed="false">
      <c r="A9" s="10" t="s">
        <v>32</v>
      </c>
      <c r="B9" s="11" t="s">
        <v>33</v>
      </c>
      <c r="C9" s="12"/>
      <c r="D9" s="12"/>
      <c r="E9" s="12"/>
      <c r="F9" s="12"/>
    </row>
    <row r="11" customFormat="false" ht="24" hidden="false" customHeight="false" outlineLevel="0" collapsed="false">
      <c r="A11" s="3" t="s">
        <v>3</v>
      </c>
      <c r="B11" s="3" t="s">
        <v>34</v>
      </c>
      <c r="C11" s="3" t="s">
        <v>35</v>
      </c>
      <c r="D11" s="3" t="s">
        <v>36</v>
      </c>
      <c r="E11" s="3" t="s">
        <v>37</v>
      </c>
      <c r="F11" s="3" t="s">
        <v>38</v>
      </c>
    </row>
    <row r="12" customFormat="false" ht="15" hidden="false" customHeight="false" outlineLevel="0" collapsed="false">
      <c r="A12" s="4" t="s">
        <v>11</v>
      </c>
      <c r="B12" s="4" t="s">
        <v>13</v>
      </c>
      <c r="C12" s="4" t="n">
        <f aca="false">COUNTIFS('Données brutes'!B5:B96,$A12,'Données brutes'!D5:D96,$B12)</f>
        <v>8</v>
      </c>
      <c r="D12" s="13" t="n">
        <f aca="false">IFERROR(COUNTIFS('Données brutes'!B5:B96,$A12,'Données brutes'!D5:D96,$B12,'Données brutes'!H5:H96,"Oui")/COUNTIFS('Données brutes'!B5:B96,$A12,'Données brutes'!D5:D96,$B12)*100,0)</f>
        <v>0</v>
      </c>
      <c r="E12" s="13" t="n">
        <f aca="false">IFERROR(AVERAGEIFS('Données brutes'!G5:G96,'Données brutes'!B5:B96,$A12,'Données brutes'!D5:D96,$B12),0)</f>
        <v>22.625</v>
      </c>
      <c r="F12" s="13" t="n">
        <f aca="false">IFERROR(COUNTIFS('Données brutes'!B5:B96,$A12,'Données brutes'!D5:D96,$B12,'Données brutes'!I5:I96,"Conforme")/COUNTIFS('Données brutes'!B5:B96,$A12,'Données brutes'!D5:D96,$B12)*100,0)</f>
        <v>100</v>
      </c>
    </row>
    <row r="13" customFormat="false" ht="15" hidden="false" customHeight="false" outlineLevel="0" collapsed="false">
      <c r="A13" s="4" t="s">
        <v>11</v>
      </c>
      <c r="B13" s="4" t="s">
        <v>20</v>
      </c>
      <c r="C13" s="4" t="n">
        <f aca="false">COUNTIFS('Données brutes'!B5:B96,$A13,'Données brutes'!D5:D96,$B13)</f>
        <v>7</v>
      </c>
      <c r="D13" s="13" t="n">
        <f aca="false">IFERROR(COUNTIFS('Données brutes'!B5:B96,$A13,'Données brutes'!D5:D96,$B13,'Données brutes'!H5:H96,"Oui")/COUNTIFS('Données brutes'!B5:B96,$A13,'Données brutes'!D5:D96,$B13)*100,0)</f>
        <v>0</v>
      </c>
      <c r="E13" s="13" t="n">
        <f aca="false">IFERROR(AVERAGEIFS('Données brutes'!G5:G96,'Données brutes'!B5:B96,$A13,'Données brutes'!D5:D96,$B13),0)</f>
        <v>28.4285714285714</v>
      </c>
      <c r="F13" s="13" t="n">
        <f aca="false">IFERROR(COUNTIFS('Données brutes'!B5:B96,$A13,'Données brutes'!D5:D96,$B13,'Données brutes'!I5:I96,"Conforme")/COUNTIFS('Données brutes'!B5:B96,$A13,'Données brutes'!D5:D96,$B13)*100,0)</f>
        <v>85.7142857142857</v>
      </c>
    </row>
    <row r="14" customFormat="false" ht="15" hidden="false" customHeight="false" outlineLevel="0" collapsed="false">
      <c r="A14" s="4" t="s">
        <v>11</v>
      </c>
      <c r="B14" s="4" t="s">
        <v>23</v>
      </c>
      <c r="C14" s="4" t="n">
        <f aca="false">COUNTIFS('Données brutes'!B5:B96,$A14,'Données brutes'!D5:D96,$B14)</f>
        <v>8</v>
      </c>
      <c r="D14" s="13" t="n">
        <f aca="false">IFERROR(COUNTIFS('Données brutes'!B5:B96,$A14,'Données brutes'!D5:D96,$B14,'Données brutes'!H5:H96,"Oui")/COUNTIFS('Données brutes'!B5:B96,$A14,'Données brutes'!D5:D96,$B14)*100,0)</f>
        <v>12.5</v>
      </c>
      <c r="E14" s="13" t="n">
        <f aca="false">IFERROR(AVERAGEIFS('Données brutes'!G5:G96,'Données brutes'!B5:B96,$A14,'Données brutes'!D5:D96,$B14),0)</f>
        <v>35.25</v>
      </c>
      <c r="F14" s="13" t="n">
        <f aca="false">IFERROR(COUNTIFS('Données brutes'!B5:B96,$A14,'Données brutes'!D5:D96,$B14,'Données brutes'!I5:I96,"Conforme")/COUNTIFS('Données brutes'!B5:B96,$A14,'Données brutes'!D5:D96,$B14)*100,0)</f>
        <v>100</v>
      </c>
    </row>
    <row r="15" customFormat="false" ht="15" hidden="false" customHeight="false" outlineLevel="0" collapsed="false">
      <c r="A15" s="4" t="s">
        <v>17</v>
      </c>
      <c r="B15" s="4" t="s">
        <v>13</v>
      </c>
      <c r="C15" s="4" t="n">
        <f aca="false">COUNTIFS('Données brutes'!B5:B96,$A15,'Données brutes'!D5:D96,$B15)</f>
        <v>8</v>
      </c>
      <c r="D15" s="13" t="n">
        <f aca="false">IFERROR(COUNTIFS('Données brutes'!B5:B96,$A15,'Données brutes'!D5:D96,$B15,'Données brutes'!H5:H96,"Oui")/COUNTIFS('Données brutes'!B5:B96,$A15,'Données brutes'!D5:D96,$B15)*100,0)</f>
        <v>0</v>
      </c>
      <c r="E15" s="13" t="n">
        <f aca="false">IFERROR(AVERAGEIFS('Données brutes'!G5:G96,'Données brutes'!B5:B96,$A15,'Données brutes'!D5:D96,$B15),0)</f>
        <v>23.25</v>
      </c>
      <c r="F15" s="13" t="n">
        <f aca="false">IFERROR(COUNTIFS('Données brutes'!B5:B96,$A15,'Données brutes'!D5:D96,$B15,'Données brutes'!I5:I96,"Conforme")/COUNTIFS('Données brutes'!B5:B96,$A15,'Données brutes'!D5:D96,$B15)*100,0)</f>
        <v>100</v>
      </c>
    </row>
    <row r="16" customFormat="false" ht="15" hidden="false" customHeight="false" outlineLevel="0" collapsed="false">
      <c r="A16" s="4" t="s">
        <v>17</v>
      </c>
      <c r="B16" s="4" t="s">
        <v>20</v>
      </c>
      <c r="C16" s="4" t="n">
        <f aca="false">COUNTIFS('Données brutes'!B5:B96,$A16,'Données brutes'!D5:D96,$B16)</f>
        <v>8</v>
      </c>
      <c r="D16" s="13" t="n">
        <f aca="false">IFERROR(COUNTIFS('Données brutes'!B5:B96,$A16,'Données brutes'!D5:D96,$B16,'Données brutes'!H5:H96,"Oui")/COUNTIFS('Données brutes'!B5:B96,$A16,'Données brutes'!D5:D96,$B16)*100,0)</f>
        <v>12.5</v>
      </c>
      <c r="E16" s="13" t="n">
        <f aca="false">IFERROR(AVERAGEIFS('Données brutes'!G5:G96,'Données brutes'!B5:B96,$A16,'Données brutes'!D5:D96,$B16),0)</f>
        <v>29.25</v>
      </c>
      <c r="F16" s="13" t="n">
        <f aca="false">IFERROR(COUNTIFS('Données brutes'!B5:B96,$A16,'Données brutes'!D5:D96,$B16,'Données brutes'!I5:I96,"Conforme")/COUNTIFS('Données brutes'!B5:B96,$A16,'Données brutes'!D5:D96,$B16)*100,0)</f>
        <v>87.5</v>
      </c>
    </row>
    <row r="17" customFormat="false" ht="15" hidden="false" customHeight="false" outlineLevel="0" collapsed="false">
      <c r="A17" s="4" t="s">
        <v>17</v>
      </c>
      <c r="B17" s="4" t="s">
        <v>23</v>
      </c>
      <c r="C17" s="4" t="n">
        <f aca="false">COUNTIFS('Données brutes'!B5:B96,$A17,'Données brutes'!D5:D96,$B17)</f>
        <v>6</v>
      </c>
      <c r="D17" s="13" t="n">
        <f aca="false">IFERROR(COUNTIFS('Données brutes'!B5:B96,$A17,'Données brutes'!D5:D96,$B17,'Données brutes'!H5:H96,"Oui")/COUNTIFS('Données brutes'!B5:B96,$A17,'Données brutes'!D5:D96,$B17)*100,0)</f>
        <v>33.3333333333333</v>
      </c>
      <c r="E17" s="13" t="n">
        <f aca="false">IFERROR(AVERAGEIFS('Données brutes'!G5:G96,'Données brutes'!B5:B96,$A17,'Données brutes'!D5:D96,$B17),0)</f>
        <v>32.5</v>
      </c>
      <c r="F17" s="13" t="n">
        <f aca="false">IFERROR(COUNTIFS('Données brutes'!B5:B96,$A17,'Données brutes'!D5:D96,$B17,'Données brutes'!I5:I96,"Conforme")/COUNTIFS('Données brutes'!B5:B96,$A17,'Données brutes'!D5:D96,$B17)*100,0)</f>
        <v>100</v>
      </c>
    </row>
    <row r="18" customFormat="false" ht="15" hidden="false" customHeight="false" outlineLevel="0" collapsed="false">
      <c r="A18" s="4" t="s">
        <v>18</v>
      </c>
      <c r="B18" s="4" t="s">
        <v>13</v>
      </c>
      <c r="C18" s="4" t="n">
        <f aca="false">COUNTIFS('Données brutes'!B5:B96,$A18,'Données brutes'!D5:D96,$B18)</f>
        <v>9</v>
      </c>
      <c r="D18" s="13" t="n">
        <f aca="false">IFERROR(COUNTIFS('Données brutes'!B5:B96,$A18,'Données brutes'!D5:D96,$B18,'Données brutes'!H5:H96,"Oui")/COUNTIFS('Données brutes'!B5:B96,$A18,'Données brutes'!D5:D96,$B18)*100,0)</f>
        <v>0</v>
      </c>
      <c r="E18" s="13" t="n">
        <f aca="false">IFERROR(AVERAGEIFS('Données brutes'!G5:G96,'Données brutes'!B5:B96,$A18,'Données brutes'!D5:D96,$B18),0)</f>
        <v>24.8888888888889</v>
      </c>
      <c r="F18" s="13" t="n">
        <f aca="false">IFERROR(COUNTIFS('Données brutes'!B5:B96,$A18,'Données brutes'!D5:D96,$B18,'Données brutes'!I5:I96,"Conforme")/COUNTIFS('Données brutes'!B5:B96,$A18,'Données brutes'!D5:D96,$B18)*100,0)</f>
        <v>100</v>
      </c>
    </row>
    <row r="19" customFormat="false" ht="15" hidden="false" customHeight="false" outlineLevel="0" collapsed="false">
      <c r="A19" s="4" t="s">
        <v>18</v>
      </c>
      <c r="B19" s="4" t="s">
        <v>20</v>
      </c>
      <c r="C19" s="4" t="n">
        <f aca="false">COUNTIFS('Données brutes'!B5:B96,$A19,'Données brutes'!D5:D96,$B19)</f>
        <v>8</v>
      </c>
      <c r="D19" s="13" t="n">
        <f aca="false">IFERROR(COUNTIFS('Données brutes'!B5:B96,$A19,'Données brutes'!D5:D96,$B19,'Données brutes'!H5:H96,"Oui")/COUNTIFS('Données brutes'!B5:B96,$A19,'Données brutes'!D5:D96,$B19)*100,0)</f>
        <v>0</v>
      </c>
      <c r="E19" s="13" t="n">
        <f aca="false">IFERROR(AVERAGEIFS('Données brutes'!G5:G96,'Données brutes'!B5:B96,$A19,'Données brutes'!D5:D96,$B19),0)</f>
        <v>29.75</v>
      </c>
      <c r="F19" s="13" t="n">
        <f aca="false">IFERROR(COUNTIFS('Données brutes'!B5:B96,$A19,'Données brutes'!D5:D96,$B19,'Données brutes'!I5:I96,"Conforme")/COUNTIFS('Données brutes'!B5:B96,$A19,'Données brutes'!D5:D96,$B19)*100,0)</f>
        <v>100</v>
      </c>
    </row>
    <row r="20" customFormat="false" ht="15" hidden="false" customHeight="false" outlineLevel="0" collapsed="false">
      <c r="A20" s="4" t="s">
        <v>18</v>
      </c>
      <c r="B20" s="4" t="s">
        <v>23</v>
      </c>
      <c r="C20" s="4" t="n">
        <f aca="false">COUNTIFS('Données brutes'!B5:B96,$A20,'Données brutes'!D5:D96,$B20)</f>
        <v>8</v>
      </c>
      <c r="D20" s="13" t="n">
        <f aca="false">IFERROR(COUNTIFS('Données brutes'!B5:B96,$A20,'Données brutes'!D5:D96,$B20,'Données brutes'!H5:H96,"Oui")/COUNTIFS('Données brutes'!B5:B96,$A20,'Données brutes'!D5:D96,$B20)*100,0)</f>
        <v>12.5</v>
      </c>
      <c r="E20" s="13" t="n">
        <f aca="false">IFERROR(AVERAGEIFS('Données brutes'!G5:G96,'Données brutes'!B5:B96,$A20,'Données brutes'!D5:D96,$B20),0)</f>
        <v>35.25</v>
      </c>
      <c r="F20" s="13" t="n">
        <f aca="false">IFERROR(COUNTIFS('Données brutes'!B5:B96,$A20,'Données brutes'!D5:D96,$B20,'Données brutes'!I5:I96,"Conforme")/COUNTIFS('Données brutes'!B5:B96,$A20,'Données brutes'!D5:D96,$B20)*100,0)</f>
        <v>87.5</v>
      </c>
    </row>
    <row r="21" customFormat="false" ht="15" hidden="false" customHeight="false" outlineLevel="0" collapsed="false">
      <c r="A21" s="4" t="s">
        <v>19</v>
      </c>
      <c r="B21" s="4" t="s">
        <v>13</v>
      </c>
      <c r="C21" s="4" t="n">
        <f aca="false">COUNTIFS('Données brutes'!B5:B96,$A21,'Données brutes'!D5:D96,$B21)</f>
        <v>9</v>
      </c>
      <c r="D21" s="13" t="n">
        <f aca="false">IFERROR(COUNTIFS('Données brutes'!B5:B96,$A21,'Données brutes'!D5:D96,$B21,'Données brutes'!H5:H96,"Oui")/COUNTIFS('Données brutes'!B5:B96,$A21,'Données brutes'!D5:D96,$B21)*100,0)</f>
        <v>0</v>
      </c>
      <c r="E21" s="13" t="n">
        <f aca="false">IFERROR(AVERAGEIFS('Données brutes'!G5:G96,'Données brutes'!B5:B96,$A21,'Données brutes'!D5:D96,$B21),0)</f>
        <v>20.6666666666667</v>
      </c>
      <c r="F21" s="13" t="n">
        <f aca="false">IFERROR(COUNTIFS('Données brutes'!B5:B96,$A21,'Données brutes'!D5:D96,$B21,'Données brutes'!I5:I96,"Conforme")/COUNTIFS('Données brutes'!B5:B96,$A21,'Données brutes'!D5:D96,$B21)*100,0)</f>
        <v>100</v>
      </c>
    </row>
    <row r="22" customFormat="false" ht="15" hidden="false" customHeight="false" outlineLevel="0" collapsed="false">
      <c r="A22" s="4" t="s">
        <v>19</v>
      </c>
      <c r="B22" s="4" t="s">
        <v>20</v>
      </c>
      <c r="C22" s="4" t="n">
        <f aca="false">COUNTIFS('Données brutes'!B5:B96,$A22,'Données brutes'!D5:D96,$B22)</f>
        <v>6</v>
      </c>
      <c r="D22" s="13" t="n">
        <f aca="false">IFERROR(COUNTIFS('Données brutes'!B5:B96,$A22,'Données brutes'!D5:D96,$B22,'Données brutes'!H5:H96,"Oui")/COUNTIFS('Données brutes'!B5:B96,$A22,'Données brutes'!D5:D96,$B22)*100,0)</f>
        <v>0</v>
      </c>
      <c r="E22" s="13" t="n">
        <f aca="false">IFERROR(AVERAGEIFS('Données brutes'!G5:G96,'Données brutes'!B5:B96,$A22,'Données brutes'!D5:D96,$B22),0)</f>
        <v>28.5</v>
      </c>
      <c r="F22" s="13" t="n">
        <f aca="false">IFERROR(COUNTIFS('Données brutes'!B5:B96,$A22,'Données brutes'!D5:D96,$B22,'Données brutes'!I5:I96,"Conforme")/COUNTIFS('Données brutes'!B5:B96,$A22,'Données brutes'!D5:D96,$B22)*100,0)</f>
        <v>100</v>
      </c>
    </row>
    <row r="23" customFormat="false" ht="15" hidden="false" customHeight="false" outlineLevel="0" collapsed="false">
      <c r="A23" s="4" t="s">
        <v>19</v>
      </c>
      <c r="B23" s="4" t="s">
        <v>23</v>
      </c>
      <c r="C23" s="4" t="n">
        <f aca="false">COUNTIFS('Données brutes'!B5:B96,$A23,'Données brutes'!D5:D96,$B23)</f>
        <v>7</v>
      </c>
      <c r="D23" s="13" t="n">
        <f aca="false">IFERROR(COUNTIFS('Données brutes'!B5:B96,$A23,'Données brutes'!D5:D96,$B23,'Données brutes'!H5:H96,"Oui")/COUNTIFS('Données brutes'!B5:B96,$A23,'Données brutes'!D5:D96,$B23)*100,0)</f>
        <v>0</v>
      </c>
      <c r="E23" s="13" t="n">
        <f aca="false">IFERROR(AVERAGEIFS('Données brutes'!G5:G96,'Données brutes'!B5:B96,$A23,'Données brutes'!D5:D96,$B23),0)</f>
        <v>36.4285714285714</v>
      </c>
      <c r="F23" s="13" t="n">
        <f aca="false">IFERROR(COUNTIFS('Données brutes'!B5:B96,$A23,'Données brutes'!D5:D96,$B23,'Données brutes'!I5:I96,"Conforme")/COUNTIFS('Données brutes'!B5:B96,$A23,'Données brutes'!D5:D96,$B23)*100,0)</f>
        <v>100</v>
      </c>
    </row>
    <row r="25" customFormat="false" ht="15" hidden="false" customHeight="false" outlineLevel="0" collapsed="false">
      <c r="A25" s="10" t="s">
        <v>39</v>
      </c>
      <c r="B25" s="11" t="s">
        <v>40</v>
      </c>
      <c r="C25" s="12"/>
      <c r="D25" s="12"/>
      <c r="E25" s="12"/>
      <c r="F25" s="12"/>
    </row>
    <row r="27" customFormat="false" ht="15" hidden="false" customHeight="true" outlineLevel="0" collapsed="false">
      <c r="A27" s="14" t="s">
        <v>41</v>
      </c>
      <c r="B27" s="14"/>
      <c r="C27" s="14"/>
      <c r="D27" s="14"/>
      <c r="E27" s="14"/>
      <c r="F27" s="14"/>
    </row>
    <row r="28" customFormat="false" ht="15" hidden="false" customHeight="false" outlineLevel="0" collapsed="false">
      <c r="A28" s="14"/>
      <c r="B28" s="14"/>
      <c r="C28" s="14"/>
      <c r="D28" s="14"/>
      <c r="E28" s="14"/>
      <c r="F28" s="14"/>
    </row>
    <row r="29" customFormat="false" ht="15" hidden="false" customHeight="false" outlineLevel="0" collapsed="false">
      <c r="A29" s="14"/>
      <c r="B29" s="14"/>
      <c r="C29" s="14"/>
      <c r="D29" s="14"/>
      <c r="E29" s="14"/>
      <c r="F29" s="14"/>
    </row>
  </sheetData>
  <mergeCells count="3">
    <mergeCell ref="A1:F1"/>
    <mergeCell ref="A2:F2"/>
    <mergeCell ref="A27:F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2026-08-31T20:56:14Z</dcterms:created>
  <dc:creator>openpyxl</dc:creator>
  <dc:description/>
  <dc:language>fr-FR</dc:language>
  <cp:lastModifiedBy/>
  <dcterms:modified xsi:type="dcterms:W3CDTF">2026-08-31T20:56:14Z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